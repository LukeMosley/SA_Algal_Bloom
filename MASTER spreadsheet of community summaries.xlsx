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i\Dropbox\Delta\Projects\Laboratory\Algal blooms, bacterial counts  for community\For Luke's HAB data display\"/>
    </mc:Choice>
  </mc:AlternateContent>
  <xr:revisionPtr revIDLastSave="0" documentId="13_ncr:1_{24D5B567-794A-4681-93F4-DA73FFBA6FFB}" xr6:coauthVersionLast="47" xr6:coauthVersionMax="47" xr10:uidLastSave="{00000000-0000-0000-0000-000000000000}"/>
  <bookViews>
    <workbookView xWindow="-108" yWindow="-108" windowWidth="23256" windowHeight="13896" xr2:uid="{9286397E-2757-492B-865A-39B2D6A15FF6}"/>
  </bookViews>
  <sheets>
    <sheet name="Cells per m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88" i="1" l="1"/>
  <c r="P787" i="1"/>
  <c r="P786" i="1"/>
  <c r="P785" i="1"/>
  <c r="P784" i="1"/>
  <c r="P783" i="1"/>
  <c r="P782" i="1"/>
  <c r="P781" i="1"/>
  <c r="P780" i="1"/>
  <c r="P779" i="1"/>
  <c r="P778" i="1"/>
  <c r="P777" i="1"/>
  <c r="P706" i="1" l="1"/>
  <c r="P705" i="1"/>
  <c r="P704" i="1"/>
  <c r="P677" i="1"/>
  <c r="P676" i="1"/>
  <c r="P672" i="1"/>
  <c r="P654" i="1"/>
  <c r="P653" i="1"/>
  <c r="P652" i="1"/>
  <c r="P666" i="1"/>
  <c r="P665" i="1"/>
  <c r="P664" i="1"/>
  <c r="P663" i="1"/>
  <c r="P662" i="1"/>
  <c r="P661" i="1"/>
  <c r="P660" i="1"/>
  <c r="P633" i="1"/>
  <c r="P622" i="1"/>
  <c r="P621" i="1"/>
  <c r="P620" i="1"/>
  <c r="P619" i="1"/>
  <c r="P599" i="1"/>
  <c r="P570" i="1"/>
  <c r="B570" i="1"/>
</calcChain>
</file>

<file path=xl/sharedStrings.xml><?xml version="1.0" encoding="utf-8"?>
<sst xmlns="http://schemas.openxmlformats.org/spreadsheetml/2006/main" count="1751" uniqueCount="431">
  <si>
    <t>Date</t>
  </si>
  <si>
    <t>Location</t>
  </si>
  <si>
    <t>Lat</t>
  </si>
  <si>
    <t>Long</t>
  </si>
  <si>
    <t>Victor Harbor</t>
  </si>
  <si>
    <t>Ardrossan</t>
  </si>
  <si>
    <t>Sheaoak Flat</t>
  </si>
  <si>
    <t>Brownlow Beach, Kangaroo Island</t>
  </si>
  <si>
    <t>West Lakes, southern inlet</t>
  </si>
  <si>
    <t>Garden Island Small Boat Club</t>
  </si>
  <si>
    <t>Garden Island boat ramp</t>
  </si>
  <si>
    <t>West Lakes, south end Delfin Island</t>
  </si>
  <si>
    <t>West Lakes, near stormwater inlet</t>
  </si>
  <si>
    <t>West Lakes, northern end</t>
  </si>
  <si>
    <t>Onkaparinga, SSLC footbridge</t>
  </si>
  <si>
    <t>Onkaparinga, Saltfleet Bridge</t>
  </si>
  <si>
    <t>Bald Hill Beach, Port Wakefield</t>
  </si>
  <si>
    <t>Swan Alley, Barker Inlet</t>
  </si>
  <si>
    <t>St Kilda boat ramp</t>
  </si>
  <si>
    <t>Outer Harbor Yacht squadron</t>
  </si>
  <si>
    <t>The Cutting, east end, Barker Inlet/Section Bank</t>
  </si>
  <si>
    <t>Thompson Beach, 1 km offshore</t>
  </si>
  <si>
    <t>Freshwater Creek (Bolivar outfall, mouth)</t>
  </si>
  <si>
    <t>Freshwater Creek (Bolivar outfall, 500m offshore)</t>
  </si>
  <si>
    <t>Hardwicke Bay, Spencer Gulf east</t>
  </si>
  <si>
    <t>St Kilda Mangrove Trail pool</t>
  </si>
  <si>
    <t>Port River, gas pipeline opp Mutton Cover</t>
  </si>
  <si>
    <t>The Cutting (Torrens Island), Port River end</t>
  </si>
  <si>
    <t>Spencer Gulf, offshore between Cowleds Landing and Murninnie Beach</t>
  </si>
  <si>
    <t>Wauraltee Beach, eastern Spencer Gulf</t>
  </si>
  <si>
    <t>Port Pirie boat ramp</t>
  </si>
  <si>
    <t>Weeroona Island boat ramp</t>
  </si>
  <si>
    <t>Germein Bay jetty</t>
  </si>
  <si>
    <t>Whyalla steelworks harbour</t>
  </si>
  <si>
    <t>Parham reef</t>
  </si>
  <si>
    <t>North Arm</t>
  </si>
  <si>
    <t>Christies Beach</t>
  </si>
  <si>
    <t>Wills Creek Price boat ramp</t>
  </si>
  <si>
    <t>Thompson Beach (2 km offshore southern end)</t>
  </si>
  <si>
    <t>Thompson Beach (1km offshore from Ruskin Road)</t>
  </si>
  <si>
    <t>Eight Mile Creek, Port MacDonald</t>
  </si>
  <si>
    <t>Racecourse Bay, Port MacDonald</t>
  </si>
  <si>
    <t>West Lakes, dirty patch of water southern (inlet) end</t>
  </si>
  <si>
    <t>West Lakes,clear water half a dozen houses north of southern (inlet) end</t>
  </si>
  <si>
    <t>Mutton Cove 1</t>
  </si>
  <si>
    <t>Mutton Cove 2</t>
  </si>
  <si>
    <t>Mutton Cove 3</t>
  </si>
  <si>
    <t>Mutton Cove 4</t>
  </si>
  <si>
    <t>Mutton Cove 5</t>
  </si>
  <si>
    <t>Mutton Cove 6</t>
  </si>
  <si>
    <t>North Arm at mouth of North Arm Creek</t>
  </si>
  <si>
    <t>Lake George, SE</t>
  </si>
  <si>
    <t>Point Turton Jetty surface</t>
  </si>
  <si>
    <t>Point Turton Jetty deep</t>
  </si>
  <si>
    <t>Offshore from Gawler River at Port Gawler 34o40.916  138o25.789</t>
  </si>
  <si>
    <t>Offshore from Fork Creek (Freshwater Creek, Bolivar Outfall) 34o42.845  138o25.656</t>
  </si>
  <si>
    <t>Offshore from Thompson Creek 34o43.988  138o26.685</t>
  </si>
  <si>
    <t>Offshore from Pumping Creek 34o44.018  138o29.341</t>
  </si>
  <si>
    <t>Clinton, -34.237801° 138.012897°</t>
  </si>
  <si>
    <t>Edithburgh Jetty</t>
  </si>
  <si>
    <t>Walleroo, 150m along the jetty, sampled at 4m depth</t>
  </si>
  <si>
    <t>Port Hughes 34o04.372  138o32.583</t>
  </si>
  <si>
    <t>Parham offshore, 34o26.3018  138o13.7935</t>
  </si>
  <si>
    <t>Southern Proof Range offshore, 34o24.8267  138o10.600</t>
  </si>
  <si>
    <t>Chlorophytes</t>
  </si>
  <si>
    <t>Euglenophytes &amp; Prasinophytes</t>
  </si>
  <si>
    <t>Cryptophytes</t>
  </si>
  <si>
    <t>Dinoflagellates</t>
  </si>
  <si>
    <r>
      <rPr>
        <i/>
        <sz val="11"/>
        <color theme="1"/>
        <rFont val="Aptos Narrow"/>
        <family val="2"/>
        <scheme val="minor"/>
      </rPr>
      <t>Karenia</t>
    </r>
    <r>
      <rPr>
        <sz val="11"/>
        <color theme="1"/>
        <rFont val="Aptos Narrow"/>
        <family val="2"/>
        <scheme val="minor"/>
      </rPr>
      <t xml:space="preserve"> spp subcount</t>
    </r>
  </si>
  <si>
    <t>Other Chromophytes</t>
  </si>
  <si>
    <t>Diatoms</t>
  </si>
  <si>
    <t>Cyanoprokaryota</t>
  </si>
  <si>
    <t>Picoplankton</t>
  </si>
  <si>
    <t>Other</t>
  </si>
  <si>
    <t>Total plankton</t>
  </si>
  <si>
    <t>Collector</t>
  </si>
  <si>
    <t>COLP5110</t>
  </si>
  <si>
    <t>Brighton</t>
  </si>
  <si>
    <t>HANC5232</t>
  </si>
  <si>
    <t>Garden Island</t>
  </si>
  <si>
    <t>Grange</t>
  </si>
  <si>
    <t>Middleton</t>
  </si>
  <si>
    <t>Port Wakefield</t>
  </si>
  <si>
    <t>Streaky Bay - 2km offshore</t>
  </si>
  <si>
    <t>Thompson Beach</t>
  </si>
  <si>
    <t>Westlakes martin court</t>
  </si>
  <si>
    <t>Olivers Reef</t>
  </si>
  <si>
    <t>Seal Island</t>
  </si>
  <si>
    <t>Wright Island</t>
  </si>
  <si>
    <t>West Island</t>
  </si>
  <si>
    <t>Waitpinga Cliffs</t>
  </si>
  <si>
    <t>Knights Beach</t>
  </si>
  <si>
    <t>Waitpinga Beach</t>
  </si>
  <si>
    <t>Middleton Beach</t>
  </si>
  <si>
    <t>Bluff Jetty</t>
  </si>
  <si>
    <t>Boomers Beach</t>
  </si>
  <si>
    <t>Largs North Boat Ramp</t>
  </si>
  <si>
    <t>Seacliff Reef Dive Surface</t>
  </si>
  <si>
    <t>Seacliff Reef Dive 13.9m depth</t>
  </si>
  <si>
    <t>Port Eliot/ Pullen Island</t>
  </si>
  <si>
    <t>Pullen Island Land side</t>
  </si>
  <si>
    <t>Pullen Island ocean side</t>
  </si>
  <si>
    <t>Barker Knoll</t>
  </si>
  <si>
    <t>Murray Mouth</t>
  </si>
  <si>
    <t>Goolwa Barrage</t>
  </si>
  <si>
    <t>Pipeline Outer Harbor</t>
  </si>
  <si>
    <t>St Kilda Channel</t>
  </si>
  <si>
    <t>Boat Ramp Outer Harbor</t>
  </si>
  <si>
    <t>Beacon 26 Outer Harbor</t>
  </si>
  <si>
    <t>Barkers Inlet</t>
  </si>
  <si>
    <t>Mid Channel Outer Harbor</t>
  </si>
  <si>
    <t>Channel Bank</t>
  </si>
  <si>
    <t>RSAYS Marina</t>
  </si>
  <si>
    <t>Outside Mangroves St K side</t>
  </si>
  <si>
    <t>Breakwater side RSAYS</t>
  </si>
  <si>
    <t>Port Hughes Dive surface</t>
  </si>
  <si>
    <t>Port Hughes Dive 6.5m depth</t>
  </si>
  <si>
    <t>Whyalla Surf Life Saving Club</t>
  </si>
  <si>
    <t>Point Lowly Beach</t>
  </si>
  <si>
    <t>Carrackalinga Haycock Pt</t>
  </si>
  <si>
    <t>Normanville Beach</t>
  </si>
  <si>
    <t>Encounter Lake Tabernacle End</t>
  </si>
  <si>
    <t>Port Adelaide Sailing Club</t>
  </si>
  <si>
    <t>Wright Island Yilki Reef</t>
  </si>
  <si>
    <t>Wright Island Dry Reef</t>
  </si>
  <si>
    <t>Weatherald Rd Footbridge</t>
  </si>
  <si>
    <t>Saltfloot Car Bridge</t>
  </si>
  <si>
    <t>Saltfloot Bridge adjacent foot</t>
  </si>
  <si>
    <t>Port Noarlunga FC Britain Rd</t>
  </si>
  <si>
    <t>SEAS5211</t>
  </si>
  <si>
    <t>Hallett Cove</t>
  </si>
  <si>
    <t>Hallettt Cove</t>
  </si>
  <si>
    <t>Cnr River Rd and New St Carpark</t>
  </si>
  <si>
    <t>River Rd under Railway carpark</t>
  </si>
  <si>
    <t>River Rd Perry's Bend</t>
  </si>
  <si>
    <t>about 300m NW of coast to Vines Rail Track Bridge</t>
  </si>
  <si>
    <t>Beach SE of Coast to Vines Rail track bridge</t>
  </si>
  <si>
    <t>Hall St footpath to landing</t>
  </si>
  <si>
    <t>Hall Cresent Car bridge</t>
  </si>
  <si>
    <t>Suspension Bridge Paringa Pde</t>
  </si>
  <si>
    <t>American River Cannery Trail start</t>
  </si>
  <si>
    <t>American River Jetty</t>
  </si>
  <si>
    <t>Tennyson Beach</t>
  </si>
  <si>
    <t>ZIML5007</t>
  </si>
  <si>
    <t>West Lakes Rowing SA Pontoon south</t>
  </si>
  <si>
    <t>West Lakes Rowing SA Pontoon north</t>
  </si>
  <si>
    <t>West Lakes Inlet Reserve</t>
  </si>
  <si>
    <t>Port Adelaide Rowing Club</t>
  </si>
  <si>
    <t>Henley Sailing Club</t>
  </si>
  <si>
    <t>JOHT5583</t>
  </si>
  <si>
    <t>Brown Beach, Kangaroo Island</t>
  </si>
  <si>
    <t>LEWK5221</t>
  </si>
  <si>
    <t>High Barbaree Pelican Lagoon KI</t>
  </si>
  <si>
    <t>Kangaroo Yacht Club Beach</t>
  </si>
  <si>
    <t>Ozone Beach Kingscote</t>
  </si>
  <si>
    <t>Boxing Bay KI</t>
  </si>
  <si>
    <t>Bay of Shoals Boat Ramp KI</t>
  </si>
  <si>
    <t>Yilki Reef Encounter Bay</t>
  </si>
  <si>
    <t>Off Bluff Jetty Encounter Bay</t>
  </si>
  <si>
    <t>Port Eliot Jetty</t>
  </si>
  <si>
    <t>Middleton Surf Beach offshore</t>
  </si>
  <si>
    <t>Solomontown Beach Port Pirie</t>
  </si>
  <si>
    <t>Glenelg Beach</t>
  </si>
  <si>
    <t>Carrickalinga North Beach</t>
  </si>
  <si>
    <t>Carrickalinga North Beach Foam</t>
  </si>
  <si>
    <t>Seal Island Victor Harbor</t>
  </si>
  <si>
    <t>Emu Bay boat ramp site 0</t>
  </si>
  <si>
    <t>Shoal Bay Pontoon, site 1</t>
  </si>
  <si>
    <t>Shoal Bay, site 2</t>
  </si>
  <si>
    <t xml:space="preserve">American River Boat ramp </t>
  </si>
  <si>
    <t>American River Remembrance creek site 14</t>
  </si>
  <si>
    <t xml:space="preserve">Brown Beach, Kangaroo Island </t>
  </si>
  <si>
    <t>Crabby Jacks (Brown Beach)</t>
  </si>
  <si>
    <t>Near Nepean Bay</t>
  </si>
  <si>
    <t>Flat Iron inshore</t>
  </si>
  <si>
    <t>Flat Irone offshore</t>
  </si>
  <si>
    <t>Off Petrel Cove</t>
  </si>
  <si>
    <t>Cape Jarvis</t>
  </si>
  <si>
    <t>Edithburgh Swimming Pool</t>
  </si>
  <si>
    <t>Hallet Cove</t>
  </si>
  <si>
    <t>Kent Reserve Beach Victor Harbor</t>
  </si>
  <si>
    <t>Wattle Bay Carpark</t>
  </si>
  <si>
    <t>Emu Bay, Kangaroo Island, bloom sample 1</t>
  </si>
  <si>
    <t>Emu Bay, Kangaroo Island, bloom sample 2</t>
  </si>
  <si>
    <t>Emu Bay, Kangaroo Island, bloom sample 3</t>
  </si>
  <si>
    <t>Dump Beach</t>
  </si>
  <si>
    <t>ROWA5211</t>
  </si>
  <si>
    <t>Middleton Bay</t>
  </si>
  <si>
    <t>Petrel Cove</t>
  </si>
  <si>
    <t>Tunkalilla Beach</t>
  </si>
  <si>
    <t>Port Wakefield Boat ramp</t>
  </si>
  <si>
    <t>Point Turton Boat ramp</t>
  </si>
  <si>
    <t>Black Point Boat ramp</t>
  </si>
  <si>
    <t>Back West Island</t>
  </si>
  <si>
    <t>Bluff Jetty side Beach</t>
  </si>
  <si>
    <t>AR Remembrance Creek</t>
  </si>
  <si>
    <t>ARBirdhideCreek</t>
  </si>
  <si>
    <t>Brown Beach_near camp</t>
  </si>
  <si>
    <t xml:space="preserve">Boxing Bay </t>
  </si>
  <si>
    <t>Boxing Bay</t>
  </si>
  <si>
    <t>EmuBay_beach</t>
  </si>
  <si>
    <t>EmuBay_jetty</t>
  </si>
  <si>
    <t>PL_bridge</t>
  </si>
  <si>
    <t>West Beach</t>
  </si>
  <si>
    <t>PelicanLagoon_boat_top</t>
  </si>
  <si>
    <t>PelicanLagoon_boat_bottom</t>
  </si>
  <si>
    <t>Island beach boat ramp</t>
  </si>
  <si>
    <t>Island Beach</t>
  </si>
  <si>
    <t>Brownlow</t>
  </si>
  <si>
    <t>Min Oil</t>
  </si>
  <si>
    <t>Wright Island bay beach</t>
  </si>
  <si>
    <t>Middleton Day Street</t>
  </si>
  <si>
    <t>Parsons Beach</t>
  </si>
  <si>
    <t>Victor Harbor yacht club</t>
  </si>
  <si>
    <t>Wakefield River</t>
  </si>
  <si>
    <t>Clinton Conservation Park</t>
  </si>
  <si>
    <t>Balgowan boat ramp</t>
  </si>
  <si>
    <t>Chinaman Wells</t>
  </si>
  <si>
    <t>BAMP5583</t>
  </si>
  <si>
    <t>Penneshaw pond</t>
  </si>
  <si>
    <t>Min Oil boat ramp</t>
  </si>
  <si>
    <t>Bay of Shoals</t>
  </si>
  <si>
    <t>Brownlow Boat Ramp</t>
  </si>
  <si>
    <t xml:space="preserve">Victor Harbor </t>
  </si>
  <si>
    <t>O'sullivans Beach</t>
  </si>
  <si>
    <t>Emu Bay Bloom (count1, sample1)</t>
  </si>
  <si>
    <t>Emu Bay Bloom (count2, sample 2)</t>
  </si>
  <si>
    <t>Island Beach 2</t>
  </si>
  <si>
    <t>Edithburgh Fishermans Wharf</t>
  </si>
  <si>
    <t>Edithburgh Tidal Pool, Outside Pool</t>
  </si>
  <si>
    <t>Coobowie Causeway, western side</t>
  </si>
  <si>
    <t>Sultana Point, southern beach</t>
  </si>
  <si>
    <t>Edithburgh Swimming Pool (Outside)</t>
  </si>
  <si>
    <t>AR Birdehide</t>
  </si>
  <si>
    <t>Blowhole Beach</t>
  </si>
  <si>
    <t>Semaphore (Largs Bay)</t>
  </si>
  <si>
    <t>Myponga Beach</t>
  </si>
  <si>
    <t>Brighton Beach</t>
  </si>
  <si>
    <t>Seacliff</t>
  </si>
  <si>
    <t>Silver Sands Beach</t>
  </si>
  <si>
    <t>Moana Beach</t>
  </si>
  <si>
    <t>Carrickalinga Beach</t>
  </si>
  <si>
    <t>Westlakes Bartley Terrace Footbridge</t>
  </si>
  <si>
    <t>Birkenhead Bridge</t>
  </si>
  <si>
    <t>tr</t>
  </si>
  <si>
    <t>StrawPT zostera</t>
  </si>
  <si>
    <t>Ethel Beach</t>
  </si>
  <si>
    <t>StrawPT posidonia</t>
  </si>
  <si>
    <t>Stokes Bay</t>
  </si>
  <si>
    <t>Wallaroo jetty swimming enclosure</t>
  </si>
  <si>
    <t>Rapid Bay Beach</t>
  </si>
  <si>
    <t>POWJ5204</t>
  </si>
  <si>
    <t>Rapid Bay Jetty</t>
  </si>
  <si>
    <t>Snellings</t>
  </si>
  <si>
    <t>CAML5575</t>
  </si>
  <si>
    <t>Grange Beach</t>
  </si>
  <si>
    <t>Island Beach boat ramp</t>
  </si>
  <si>
    <t>Port Minlacowie Boat ramp</t>
  </si>
  <si>
    <t>Point Turton Swim Centre</t>
  </si>
  <si>
    <t>Burners Beach natural boat ramp (in bush camp)</t>
  </si>
  <si>
    <t>Len Barker Bush Camp</t>
  </si>
  <si>
    <t>Point Turton Jetty</t>
  </si>
  <si>
    <t>Port Rickaby Jetty</t>
  </si>
  <si>
    <t>Magazine Bay</t>
  </si>
  <si>
    <t xml:space="preserve">StrawPT posedonia </t>
  </si>
  <si>
    <t>DAHL5575</t>
  </si>
  <si>
    <t>Garden Island boatramp</t>
  </si>
  <si>
    <t>Largs Bay Beach</t>
  </si>
  <si>
    <t>Port Clinton</t>
  </si>
  <si>
    <t>Port Minlacowie Boatramp</t>
  </si>
  <si>
    <t>Pt Vincent Marina, 500mm deep</t>
  </si>
  <si>
    <t>Pt Vincent Marina, 2000mm Deep.</t>
  </si>
  <si>
    <t>Edithburgh Fishermans Wharf, 500mm Deep</t>
  </si>
  <si>
    <t>Edithburgh Tidal Pool, inside pool.</t>
  </si>
  <si>
    <t>Berry Bay North, Shoreline</t>
  </si>
  <si>
    <t>Edithburgh Fishermans Wharf, Shoreline</t>
  </si>
  <si>
    <t>Sultana Point Shoreline, Southern end.</t>
  </si>
  <si>
    <t>Swincers Rocks</t>
  </si>
  <si>
    <t>Gleesons Landing</t>
  </si>
  <si>
    <t>Pt Annie</t>
  </si>
  <si>
    <t>Dairy Road, Corny Point</t>
  </si>
  <si>
    <t>North Berry Bay</t>
  </si>
  <si>
    <t>Cowell harbour view boat ramp</t>
  </si>
  <si>
    <t>LAMW5607</t>
  </si>
  <si>
    <t>Port Augusta Boat ramp</t>
  </si>
  <si>
    <t>Port Augusta Boat Swim Pontoon</t>
  </si>
  <si>
    <t>Port Augusta Yacht Club Pontoon</t>
  </si>
  <si>
    <t>North Shields Reef</t>
  </si>
  <si>
    <t>North Shields Beach</t>
  </si>
  <si>
    <t>North Shields Jetty</t>
  </si>
  <si>
    <t>Arno Bay Jetty</t>
  </si>
  <si>
    <t>Arno Bay Creek</t>
  </si>
  <si>
    <t>Arno Bay Boat Ramp</t>
  </si>
  <si>
    <t>Second Valley 7m depth</t>
  </si>
  <si>
    <t>Second Valley Surface</t>
  </si>
  <si>
    <t>West Island N side</t>
  </si>
  <si>
    <t>West Island SW side</t>
  </si>
  <si>
    <t>Off Waitpinga Cliffs</t>
  </si>
  <si>
    <t>West Island SE side</t>
  </si>
  <si>
    <t>O'sullivans Beach Boatramp</t>
  </si>
  <si>
    <t>Seacliff beach</t>
  </si>
  <si>
    <t>Hardwicke Bay boat ramp</t>
  </si>
  <si>
    <t>American Beach</t>
  </si>
  <si>
    <t>Brown Beach offshore near camp</t>
  </si>
  <si>
    <t>Second Valley Beach</t>
  </si>
  <si>
    <t>Morgans Beach</t>
  </si>
  <si>
    <t>Sultana Point Shoreline, Low Tide</t>
  </si>
  <si>
    <t xml:space="preserve">Kemp Bay, Shoreline </t>
  </si>
  <si>
    <t>Wool Bay Jetty Stairwell, 1m depth</t>
  </si>
  <si>
    <t xml:space="preserve">Edithburgh Boat Ramp, Bottom Sample </t>
  </si>
  <si>
    <t>Rapid Bay beach</t>
  </si>
  <si>
    <t>Second Valley Jetty (Dive)</t>
  </si>
  <si>
    <t>Normanville Jetty</t>
  </si>
  <si>
    <t>Middleton Cliffs</t>
  </si>
  <si>
    <t>Bashams Beach</t>
  </si>
  <si>
    <t>Victor Boat Ramp</t>
  </si>
  <si>
    <t>Kent Reserve</t>
  </si>
  <si>
    <t>Waitpinga</t>
  </si>
  <si>
    <t>The Pines</t>
  </si>
  <si>
    <t>Pt Turton Swim Centre</t>
  </si>
  <si>
    <t>Flaherty's Beach</t>
  </si>
  <si>
    <t>Hardwicke Bay Boat Ramp beach</t>
  </si>
  <si>
    <t>Neptune Island</t>
  </si>
  <si>
    <t>Lizards, Southern end of Formby Bay</t>
  </si>
  <si>
    <t xml:space="preserve">South Berry Bay </t>
  </si>
  <si>
    <t>Parsons Beach, low tide from edge of seagrass</t>
  </si>
  <si>
    <t>Pt Rickaby Jetty Stairs, 1M depth</t>
  </si>
  <si>
    <t>Wauraltee Beach, Shoreline</t>
  </si>
  <si>
    <t>Dunn Point (Corny Point)</t>
  </si>
  <si>
    <t>Galway Bay (Pt Souttar)</t>
  </si>
  <si>
    <t>Cockle Beach</t>
  </si>
  <si>
    <t>Pt Minlacowie bush camp</t>
  </si>
  <si>
    <t>Pt Turton Jetty</t>
  </si>
  <si>
    <t>Middle Berry Bay</t>
  </si>
  <si>
    <t>Reevsby island Turfey rocks</t>
  </si>
  <si>
    <t>Reevesby island Haystack</t>
  </si>
  <si>
    <t>Longbottom Beach</t>
  </si>
  <si>
    <t>Hardwicke Bay</t>
  </si>
  <si>
    <t>Rapid Bay New Jetty (Dive 6.2m depth)</t>
  </si>
  <si>
    <t>Wirrina Cove Beach</t>
  </si>
  <si>
    <t>Pt Rickaby boat inshore</t>
  </si>
  <si>
    <t>Pt Rickaby boat offshore</t>
  </si>
  <si>
    <t>Marion Bay Beach</t>
  </si>
  <si>
    <t>Whalers Rd EB</t>
  </si>
  <si>
    <t>EB Boat Ramp</t>
  </si>
  <si>
    <t>Charles St EB</t>
  </si>
  <si>
    <t>Whyalla</t>
  </si>
  <si>
    <t>HANC5600</t>
  </si>
  <si>
    <t>Time</t>
  </si>
  <si>
    <t>Westlakes Bartley Terrace footbridge</t>
  </si>
  <si>
    <t>HYDG5204</t>
  </si>
  <si>
    <t>Edithburgh Fisherman's Wharf</t>
  </si>
  <si>
    <t>Wauraltee Beach (adj bush camp)</t>
  </si>
  <si>
    <t>Port Rickaby jetty</t>
  </si>
  <si>
    <t>Port Victoria boat ramp</t>
  </si>
  <si>
    <t>Port Rickaby north</t>
  </si>
  <si>
    <t>Second Beach</t>
  </si>
  <si>
    <t>Port Victoria jetty</t>
  </si>
  <si>
    <t>Greenly island</t>
  </si>
  <si>
    <t>Sleaford Bay</t>
  </si>
  <si>
    <t>Flour Cask</t>
  </si>
  <si>
    <t>Pennington Bay</t>
  </si>
  <si>
    <t>Chapman River</t>
  </si>
  <si>
    <t>Shoal Bay KI</t>
  </si>
  <si>
    <t>Pt Vincent Wharf</t>
  </si>
  <si>
    <t>BURC5575</t>
  </si>
  <si>
    <t>Minlacowie boat ramp (at ramp)</t>
  </si>
  <si>
    <t>O'sullivan Beach Boatramp</t>
  </si>
  <si>
    <t>Whalers Way</t>
  </si>
  <si>
    <t>Sleaford Bay beach</t>
  </si>
  <si>
    <t>Point Turton Boat Ramp</t>
  </si>
  <si>
    <t xml:space="preserve">Longbottoms Beach </t>
  </si>
  <si>
    <t xml:space="preserve"> </t>
  </si>
  <si>
    <t>Port Hughes</t>
  </si>
  <si>
    <t>Stansbury jetty steps</t>
  </si>
  <si>
    <t>Flat Iron inshore/Waitpinga Cliffs</t>
  </si>
  <si>
    <t>Pennington</t>
  </si>
  <si>
    <t>Strawberry Point</t>
  </si>
  <si>
    <t>Pt Victoria Jetty Stairs</t>
  </si>
  <si>
    <t>Point Turton Jetty Stairs</t>
  </si>
  <si>
    <t>Port Victoria Jetty Stairs</t>
  </si>
  <si>
    <t>Parsons Beach (boat launch)</t>
  </si>
  <si>
    <t>Port Victoria Jetty</t>
  </si>
  <si>
    <t>Wauraltee Beach (north of beach access)</t>
  </si>
  <si>
    <t>Hardwicke Bay Reef North Shore Rd</t>
  </si>
  <si>
    <t xml:space="preserve">Second Valley Jetty </t>
  </si>
  <si>
    <t xml:space="preserve">Brown Beach </t>
  </si>
  <si>
    <t xml:space="preserve">Min Oil </t>
  </si>
  <si>
    <t>Port Dock 1 (8m depth)</t>
  </si>
  <si>
    <t>West Beach Boat Ramp</t>
  </si>
  <si>
    <t>Port Elliot Beach</t>
  </si>
  <si>
    <t>Antechamber</t>
  </si>
  <si>
    <t>New Rapid Head Jetty</t>
  </si>
  <si>
    <t>Balgowan beach access</t>
  </si>
  <si>
    <t>Pinks Beach</t>
  </si>
  <si>
    <t>Ocean between Pullen and Seal island</t>
  </si>
  <si>
    <t>Brown Beach</t>
  </si>
  <si>
    <t>Pt Hughes jetty</t>
  </si>
  <si>
    <t>Hardwicke Bay horseshoe reef</t>
  </si>
  <si>
    <t>Stansbury Boat Ramp</t>
  </si>
  <si>
    <t>Port Vincent Marina</t>
  </si>
  <si>
    <t>Second Valley Jetty</t>
  </si>
  <si>
    <t>BOOL5204</t>
  </si>
  <si>
    <t>Victor Yacht Club</t>
  </si>
  <si>
    <t>Big Duck Landing</t>
  </si>
  <si>
    <t>Bluff Boat Ramp</t>
  </si>
  <si>
    <t xml:space="preserve">Wirrina Cove Marina </t>
  </si>
  <si>
    <t>Soldiers Reserve Victor Harbor</t>
  </si>
  <si>
    <t>Port Noarlunga Jetty</t>
  </si>
  <si>
    <t>Kingston SE</t>
  </si>
  <si>
    <t>Port Hughes Jetty</t>
  </si>
  <si>
    <t>Baudin Beach</t>
  </si>
  <si>
    <t>Min oil</t>
  </si>
  <si>
    <t>Whyalla Jetty</t>
  </si>
  <si>
    <t>Fitzgerald Bay (offshore)</t>
  </si>
  <si>
    <t>Fitzgerald Bay (shore)</t>
  </si>
  <si>
    <t>Westlakes Oarsman Reserve</t>
  </si>
  <si>
    <t>Cape Jervis Boat Ramp</t>
  </si>
  <si>
    <t xml:space="preserve">Baudin Beach </t>
  </si>
  <si>
    <t xml:space="preserve">Emu Bay </t>
  </si>
  <si>
    <t>Cattle Point, Coorong</t>
  </si>
  <si>
    <t xml:space="preserve">Flour Cask </t>
  </si>
  <si>
    <t>Wirrina Cove Marina</t>
  </si>
  <si>
    <t>Glenelg Jetty</t>
  </si>
  <si>
    <t>Waitpinga Cliffs, 1km offshore</t>
  </si>
  <si>
    <t>Between Wright Island and Granite Island</t>
  </si>
  <si>
    <t>Emu Bay</t>
  </si>
  <si>
    <t>North Carrickalinga Beach</t>
  </si>
  <si>
    <t>Stansbury- ST-05A</t>
  </si>
  <si>
    <t>Louth Bay jetty</t>
  </si>
  <si>
    <t>Lady 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</si>
</sst>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0"/>
    <numFmt numFmtId="165" formatCode="h:mm:ss;@"/>
    <numFmt numFmtId="166" formatCode="[$-F400]h:mm:ss\ AM/PM"/>
    <numFmt numFmtId="167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0"/>
      <color rgb="FF1F1F1F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/>
    <xf numFmtId="164" fontId="0" fillId="0" borderId="0" xfId="0" applyNumberFormat="1"/>
    <xf numFmtId="3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4" fillId="0" borderId="0" xfId="0" applyFont="1"/>
    <xf numFmtId="0" fontId="5" fillId="0" borderId="0" xfId="0" applyFont="1"/>
    <xf numFmtId="43" fontId="0" fillId="0" borderId="0" xfId="0" applyNumberFormat="1"/>
    <xf numFmtId="0" fontId="5" fillId="0" borderId="0" xfId="0" applyFont="1" applyAlignment="1">
      <alignment horizontal="right"/>
    </xf>
    <xf numFmtId="0" fontId="6" fillId="0" borderId="0" xfId="0" applyFont="1"/>
    <xf numFmtId="1" fontId="0" fillId="2" borderId="0" xfId="0" applyNumberFormat="1" applyFill="1" applyAlignment="1">
      <alignment horizontal="right"/>
    </xf>
    <xf numFmtId="165" fontId="0" fillId="0" borderId="0" xfId="0" applyNumberFormat="1"/>
    <xf numFmtId="1" fontId="0" fillId="0" borderId="0" xfId="0" applyNumberFormat="1" applyAlignment="1">
      <alignment horizontal="right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66" fontId="0" fillId="0" borderId="0" xfId="0" applyNumberFormat="1" applyAlignment="1">
      <alignment wrapText="1"/>
    </xf>
    <xf numFmtId="166" fontId="0" fillId="0" borderId="0" xfId="0" applyNumberFormat="1"/>
    <xf numFmtId="166" fontId="2" fillId="0" borderId="0" xfId="0" applyNumberFormat="1" applyFont="1"/>
    <xf numFmtId="20" fontId="0" fillId="0" borderId="0" xfId="0" applyNumberFormat="1"/>
    <xf numFmtId="167" fontId="0" fillId="0" borderId="0" xfId="1" applyNumberFormat="1" applyFont="1" applyFill="1" applyBorder="1"/>
  </cellXfs>
  <cellStyles count="2">
    <cellStyle name="Comma" xfId="1" builtinId="3"/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07807-E5C9-4450-88E0-159CBB3E9A67}">
  <dimension ref="A1:T867"/>
  <sheetViews>
    <sheetView tabSelected="1" zoomScale="115" zoomScaleNormal="115" workbookViewId="0">
      <pane ySplit="1" topLeftCell="A853" activePane="bottomLeft" state="frozen"/>
      <selection activeCell="D1" sqref="D1"/>
      <selection pane="bottomLeft" activeCell="J872" sqref="J872"/>
    </sheetView>
  </sheetViews>
  <sheetFormatPr defaultRowHeight="14.4" x14ac:dyDescent="0.3"/>
  <cols>
    <col min="1" max="1" width="39.33203125" customWidth="1"/>
    <col min="2" max="2" width="17.77734375" customWidth="1"/>
    <col min="3" max="3" width="14.6640625" customWidth="1"/>
    <col min="4" max="4" width="13.109375" customWidth="1"/>
    <col min="5" max="5" width="16.6640625" style="20" customWidth="1"/>
    <col min="6" max="6" width="12" customWidth="1"/>
    <col min="7" max="7" width="15.44140625" customWidth="1"/>
    <col min="8" max="8" width="11.88671875" customWidth="1"/>
    <col min="9" max="9" width="14.109375" customWidth="1"/>
    <col min="10" max="10" width="11.88671875" customWidth="1"/>
    <col min="11" max="11" width="14.109375" customWidth="1"/>
    <col min="12" max="12" width="10.44140625" customWidth="1"/>
    <col min="13" max="13" width="15.5546875" customWidth="1"/>
    <col min="14" max="14" width="13" customWidth="1"/>
    <col min="15" max="15" width="7.6640625" customWidth="1"/>
    <col min="16" max="16" width="12.44140625" customWidth="1"/>
    <col min="17" max="17" width="10.33203125" customWidth="1"/>
    <col min="18" max="18" width="10" customWidth="1"/>
  </cols>
  <sheetData>
    <row r="1" spans="1:17" ht="34.950000000000003" customHeight="1" x14ac:dyDescent="0.3">
      <c r="A1" s="1" t="s">
        <v>1</v>
      </c>
      <c r="B1" s="1" t="s">
        <v>2</v>
      </c>
      <c r="C1" s="1" t="s">
        <v>3</v>
      </c>
      <c r="D1" t="s">
        <v>0</v>
      </c>
      <c r="E1" s="19" t="s">
        <v>348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</row>
    <row r="2" spans="1:17" x14ac:dyDescent="0.3">
      <c r="A2" t="s">
        <v>4</v>
      </c>
      <c r="B2">
        <v>-35.558520000000001</v>
      </c>
      <c r="C2">
        <v>138.62299999999999</v>
      </c>
      <c r="D2" s="2">
        <v>45738</v>
      </c>
      <c r="I2">
        <v>25560</v>
      </c>
      <c r="J2">
        <v>25560</v>
      </c>
      <c r="L2">
        <v>560</v>
      </c>
      <c r="P2">
        <v>26120</v>
      </c>
      <c r="Q2" t="s">
        <v>76</v>
      </c>
    </row>
    <row r="3" spans="1:17" x14ac:dyDescent="0.3">
      <c r="A3" t="s">
        <v>5</v>
      </c>
      <c r="B3">
        <v>-34.423819999999999</v>
      </c>
      <c r="C3">
        <v>137.92411999999999</v>
      </c>
      <c r="D3" s="2">
        <v>45792</v>
      </c>
      <c r="G3">
        <v>37</v>
      </c>
      <c r="H3">
        <v>74</v>
      </c>
      <c r="I3">
        <v>74</v>
      </c>
      <c r="J3">
        <v>0</v>
      </c>
      <c r="L3">
        <v>37</v>
      </c>
      <c r="N3">
        <v>333</v>
      </c>
      <c r="P3">
        <v>556</v>
      </c>
      <c r="Q3" t="s">
        <v>76</v>
      </c>
    </row>
    <row r="4" spans="1:17" x14ac:dyDescent="0.3">
      <c r="A4" t="s">
        <v>6</v>
      </c>
      <c r="B4" s="3">
        <v>-34.703580000000002</v>
      </c>
      <c r="C4">
        <v>137.87817000000001</v>
      </c>
      <c r="D4" s="2">
        <v>45792</v>
      </c>
      <c r="G4">
        <v>37</v>
      </c>
      <c r="H4">
        <v>185</v>
      </c>
      <c r="I4">
        <v>1481</v>
      </c>
      <c r="J4">
        <v>481</v>
      </c>
      <c r="K4">
        <v>259</v>
      </c>
      <c r="L4">
        <v>185</v>
      </c>
      <c r="N4">
        <v>1407</v>
      </c>
      <c r="P4">
        <v>3556</v>
      </c>
      <c r="Q4" t="s">
        <v>76</v>
      </c>
    </row>
    <row r="5" spans="1:17" x14ac:dyDescent="0.3">
      <c r="A5" t="s">
        <v>7</v>
      </c>
      <c r="B5">
        <v>-35.672089999999997</v>
      </c>
      <c r="C5">
        <v>137.61358000000001</v>
      </c>
      <c r="D5" s="2">
        <v>45800</v>
      </c>
      <c r="I5">
        <v>167</v>
      </c>
      <c r="J5">
        <v>0</v>
      </c>
      <c r="L5">
        <v>1278</v>
      </c>
      <c r="M5">
        <v>167</v>
      </c>
      <c r="N5">
        <v>2333</v>
      </c>
      <c r="P5">
        <v>3944</v>
      </c>
      <c r="Q5" t="s">
        <v>76</v>
      </c>
    </row>
    <row r="6" spans="1:17" x14ac:dyDescent="0.3">
      <c r="A6" t="s">
        <v>5</v>
      </c>
      <c r="B6">
        <v>-34.423819999999999</v>
      </c>
      <c r="C6">
        <v>137.92411999999999</v>
      </c>
      <c r="D6" s="2">
        <v>45801</v>
      </c>
      <c r="G6">
        <v>83</v>
      </c>
      <c r="H6">
        <v>250</v>
      </c>
      <c r="I6">
        <v>861</v>
      </c>
      <c r="J6">
        <v>222</v>
      </c>
      <c r="K6">
        <v>28</v>
      </c>
      <c r="L6">
        <v>139</v>
      </c>
      <c r="N6">
        <v>1178</v>
      </c>
      <c r="O6">
        <v>28</v>
      </c>
      <c r="P6">
        <v>3167</v>
      </c>
      <c r="Q6" t="s">
        <v>76</v>
      </c>
    </row>
    <row r="7" spans="1:17" x14ac:dyDescent="0.3">
      <c r="A7" t="s">
        <v>5</v>
      </c>
      <c r="B7">
        <v>-34.423819999999999</v>
      </c>
      <c r="C7">
        <v>137.92411999999999</v>
      </c>
      <c r="D7" s="2">
        <v>45806</v>
      </c>
      <c r="H7">
        <v>194</v>
      </c>
      <c r="I7">
        <v>222</v>
      </c>
      <c r="J7">
        <v>28</v>
      </c>
      <c r="K7">
        <v>56</v>
      </c>
      <c r="L7">
        <v>806</v>
      </c>
      <c r="M7">
        <v>28</v>
      </c>
      <c r="N7">
        <v>417</v>
      </c>
      <c r="O7">
        <v>28</v>
      </c>
      <c r="P7">
        <v>1750</v>
      </c>
      <c r="Q7" t="s">
        <v>76</v>
      </c>
    </row>
    <row r="8" spans="1:17" x14ac:dyDescent="0.3">
      <c r="A8" t="s">
        <v>5</v>
      </c>
      <c r="B8">
        <v>-34.423819999999999</v>
      </c>
      <c r="C8">
        <v>137.92411999999999</v>
      </c>
      <c r="D8" s="2">
        <v>45815</v>
      </c>
      <c r="G8">
        <v>194</v>
      </c>
      <c r="H8">
        <v>167</v>
      </c>
      <c r="I8">
        <v>500</v>
      </c>
      <c r="J8">
        <v>83</v>
      </c>
      <c r="L8">
        <v>1083</v>
      </c>
      <c r="N8">
        <v>667</v>
      </c>
      <c r="P8">
        <v>2611</v>
      </c>
      <c r="Q8" t="s">
        <v>76</v>
      </c>
    </row>
    <row r="9" spans="1:17" x14ac:dyDescent="0.3">
      <c r="A9" t="s">
        <v>6</v>
      </c>
      <c r="B9">
        <v>-34.703580000000002</v>
      </c>
      <c r="C9">
        <v>137.87817000000001</v>
      </c>
      <c r="D9" s="2">
        <v>45815</v>
      </c>
      <c r="H9">
        <v>333</v>
      </c>
      <c r="I9">
        <v>1111</v>
      </c>
      <c r="J9">
        <v>0</v>
      </c>
      <c r="K9">
        <v>56</v>
      </c>
      <c r="L9">
        <v>7222</v>
      </c>
      <c r="M9">
        <v>1167</v>
      </c>
      <c r="O9">
        <v>56</v>
      </c>
      <c r="P9">
        <v>9944</v>
      </c>
      <c r="Q9" t="s">
        <v>76</v>
      </c>
    </row>
    <row r="10" spans="1:17" x14ac:dyDescent="0.3">
      <c r="A10" t="s">
        <v>92</v>
      </c>
      <c r="B10">
        <v>-35.6360308</v>
      </c>
      <c r="C10">
        <v>138.5048433</v>
      </c>
      <c r="D10" s="2">
        <v>45819</v>
      </c>
      <c r="I10">
        <v>610</v>
      </c>
      <c r="J10">
        <v>333</v>
      </c>
      <c r="P10">
        <v>610</v>
      </c>
      <c r="Q10" t="s">
        <v>129</v>
      </c>
    </row>
    <row r="11" spans="1:17" x14ac:dyDescent="0.3">
      <c r="A11" t="s">
        <v>91</v>
      </c>
      <c r="B11">
        <v>-35.536441500000002</v>
      </c>
      <c r="C11">
        <v>138.6782326</v>
      </c>
      <c r="D11" s="2">
        <v>45820</v>
      </c>
      <c r="I11">
        <v>777</v>
      </c>
      <c r="J11">
        <v>333</v>
      </c>
      <c r="P11">
        <v>777</v>
      </c>
      <c r="Q11" t="s">
        <v>129</v>
      </c>
    </row>
    <row r="12" spans="1:17" x14ac:dyDescent="0.3">
      <c r="A12" t="s">
        <v>86</v>
      </c>
      <c r="B12">
        <v>-35.540277000000003</v>
      </c>
      <c r="C12">
        <v>138.66416599999999</v>
      </c>
      <c r="D12" s="2">
        <v>45823</v>
      </c>
      <c r="I12">
        <v>278</v>
      </c>
      <c r="J12">
        <v>111</v>
      </c>
      <c r="P12">
        <v>278</v>
      </c>
      <c r="Q12" t="s">
        <v>129</v>
      </c>
    </row>
    <row r="13" spans="1:17" x14ac:dyDescent="0.3">
      <c r="A13" t="s">
        <v>87</v>
      </c>
      <c r="B13">
        <v>-35.573300000000003</v>
      </c>
      <c r="C13">
        <v>138.64250000000001</v>
      </c>
      <c r="D13" s="2">
        <v>45823</v>
      </c>
      <c r="I13">
        <v>222</v>
      </c>
      <c r="J13">
        <v>0</v>
      </c>
      <c r="P13">
        <v>222</v>
      </c>
      <c r="Q13" t="s">
        <v>129</v>
      </c>
    </row>
    <row r="14" spans="1:17" x14ac:dyDescent="0.3">
      <c r="A14" t="s">
        <v>88</v>
      </c>
      <c r="B14">
        <v>-35.574167000000003</v>
      </c>
      <c r="C14">
        <v>138.61528000000001</v>
      </c>
      <c r="D14" s="2">
        <v>45823</v>
      </c>
      <c r="I14">
        <v>944</v>
      </c>
      <c r="J14">
        <v>0</v>
      </c>
      <c r="P14">
        <v>944</v>
      </c>
      <c r="Q14" t="s">
        <v>129</v>
      </c>
    </row>
    <row r="15" spans="1:17" x14ac:dyDescent="0.3">
      <c r="A15" t="s">
        <v>89</v>
      </c>
      <c r="B15">
        <v>-35.6048446</v>
      </c>
      <c r="C15">
        <v>138.59278499999999</v>
      </c>
      <c r="D15" s="2">
        <v>45823</v>
      </c>
      <c r="I15">
        <v>167</v>
      </c>
      <c r="J15">
        <v>56</v>
      </c>
      <c r="P15">
        <v>167</v>
      </c>
      <c r="Q15" t="s">
        <v>129</v>
      </c>
    </row>
    <row r="16" spans="1:17" x14ac:dyDescent="0.3">
      <c r="A16" t="s">
        <v>90</v>
      </c>
      <c r="B16">
        <v>-35.615555999999998</v>
      </c>
      <c r="C16">
        <v>138.56833</v>
      </c>
      <c r="D16" s="2">
        <v>45823</v>
      </c>
      <c r="I16">
        <v>56</v>
      </c>
      <c r="J16">
        <v>0</v>
      </c>
      <c r="P16">
        <v>56</v>
      </c>
      <c r="Q16" t="s">
        <v>129</v>
      </c>
    </row>
    <row r="17" spans="1:17" x14ac:dyDescent="0.3">
      <c r="A17" t="s">
        <v>91</v>
      </c>
      <c r="B17">
        <v>-35.536441500000002</v>
      </c>
      <c r="C17">
        <v>138.6782326</v>
      </c>
      <c r="D17" s="2">
        <v>45826</v>
      </c>
      <c r="I17">
        <v>2111</v>
      </c>
      <c r="J17">
        <v>333</v>
      </c>
      <c r="P17">
        <v>2111</v>
      </c>
      <c r="Q17" t="s">
        <v>129</v>
      </c>
    </row>
    <row r="18" spans="1:17" x14ac:dyDescent="0.3">
      <c r="A18" t="s">
        <v>93</v>
      </c>
      <c r="B18">
        <v>-35.513599999999997</v>
      </c>
      <c r="C18">
        <v>138.72001900000001</v>
      </c>
      <c r="D18" s="2">
        <v>45826</v>
      </c>
      <c r="I18">
        <v>1056</v>
      </c>
      <c r="J18">
        <v>333</v>
      </c>
      <c r="P18">
        <v>1056</v>
      </c>
      <c r="Q18" t="s">
        <v>129</v>
      </c>
    </row>
    <row r="19" spans="1:17" x14ac:dyDescent="0.3">
      <c r="A19" t="s">
        <v>8</v>
      </c>
      <c r="B19">
        <v>-34.893830000000001</v>
      </c>
      <c r="C19">
        <v>138.49006</v>
      </c>
      <c r="D19" s="2">
        <v>45830</v>
      </c>
      <c r="F19">
        <v>56</v>
      </c>
      <c r="H19">
        <v>194</v>
      </c>
      <c r="I19">
        <v>111</v>
      </c>
      <c r="J19">
        <v>28</v>
      </c>
      <c r="K19">
        <v>917</v>
      </c>
      <c r="L19">
        <v>139</v>
      </c>
      <c r="N19">
        <v>1778</v>
      </c>
      <c r="O19">
        <v>28</v>
      </c>
      <c r="P19">
        <v>3222</v>
      </c>
      <c r="Q19" t="s">
        <v>76</v>
      </c>
    </row>
    <row r="20" spans="1:17" x14ac:dyDescent="0.3">
      <c r="A20" t="s">
        <v>9</v>
      </c>
      <c r="B20">
        <v>-34.802858999999998</v>
      </c>
      <c r="C20">
        <v>138.531958</v>
      </c>
      <c r="D20" s="2">
        <v>45837</v>
      </c>
      <c r="I20">
        <v>222</v>
      </c>
      <c r="J20">
        <v>0</v>
      </c>
      <c r="L20">
        <v>250</v>
      </c>
      <c r="M20">
        <v>56</v>
      </c>
      <c r="P20">
        <v>556</v>
      </c>
      <c r="Q20" t="s">
        <v>76</v>
      </c>
    </row>
    <row r="21" spans="1:17" x14ac:dyDescent="0.3">
      <c r="A21" t="s">
        <v>10</v>
      </c>
      <c r="B21">
        <v>-34.804799000000003</v>
      </c>
      <c r="C21">
        <v>138.540256</v>
      </c>
      <c r="D21" s="2">
        <v>45837</v>
      </c>
      <c r="H21">
        <v>28</v>
      </c>
      <c r="I21">
        <v>56</v>
      </c>
      <c r="J21">
        <v>0</v>
      </c>
      <c r="L21">
        <v>56</v>
      </c>
      <c r="P21">
        <v>140</v>
      </c>
      <c r="Q21" t="s">
        <v>76</v>
      </c>
    </row>
    <row r="22" spans="1:17" x14ac:dyDescent="0.3">
      <c r="A22" t="s">
        <v>93</v>
      </c>
      <c r="B22">
        <v>-35.513599999999997</v>
      </c>
      <c r="C22">
        <v>138.72001900000001</v>
      </c>
      <c r="D22" s="2">
        <v>45839</v>
      </c>
      <c r="J22">
        <v>0</v>
      </c>
      <c r="L22">
        <v>199444</v>
      </c>
      <c r="P22">
        <v>199444</v>
      </c>
      <c r="Q22" t="s">
        <v>129</v>
      </c>
    </row>
    <row r="23" spans="1:17" x14ac:dyDescent="0.3">
      <c r="A23" t="s">
        <v>8</v>
      </c>
      <c r="B23">
        <v>-34.893830000000001</v>
      </c>
      <c r="C23">
        <v>138.49006</v>
      </c>
      <c r="D23" s="2">
        <v>45841</v>
      </c>
      <c r="G23">
        <v>333</v>
      </c>
      <c r="H23">
        <v>1000</v>
      </c>
      <c r="I23">
        <v>389</v>
      </c>
      <c r="J23">
        <v>56</v>
      </c>
      <c r="K23">
        <v>722</v>
      </c>
      <c r="L23">
        <v>111</v>
      </c>
      <c r="N23">
        <v>4000</v>
      </c>
      <c r="O23">
        <v>28</v>
      </c>
      <c r="P23">
        <v>6583</v>
      </c>
      <c r="Q23" t="s">
        <v>76</v>
      </c>
    </row>
    <row r="24" spans="1:17" x14ac:dyDescent="0.3">
      <c r="A24" t="s">
        <v>11</v>
      </c>
      <c r="B24">
        <v>-34.876789000000002</v>
      </c>
      <c r="C24">
        <v>138.488035</v>
      </c>
      <c r="D24" s="2">
        <v>45841</v>
      </c>
      <c r="F24">
        <v>56</v>
      </c>
      <c r="G24">
        <v>1389</v>
      </c>
      <c r="H24">
        <v>1111</v>
      </c>
      <c r="I24">
        <v>306</v>
      </c>
      <c r="J24">
        <v>0</v>
      </c>
      <c r="K24">
        <v>611</v>
      </c>
      <c r="L24">
        <v>28</v>
      </c>
      <c r="N24">
        <v>5333</v>
      </c>
      <c r="O24">
        <v>56</v>
      </c>
      <c r="P24">
        <v>8889</v>
      </c>
      <c r="Q24" t="s">
        <v>76</v>
      </c>
    </row>
    <row r="25" spans="1:17" x14ac:dyDescent="0.3">
      <c r="A25" t="s">
        <v>12</v>
      </c>
      <c r="B25">
        <v>-34.877485999999998</v>
      </c>
      <c r="C25">
        <v>138.49785399999999</v>
      </c>
      <c r="D25" s="2">
        <v>45841</v>
      </c>
      <c r="G25">
        <v>778</v>
      </c>
      <c r="H25">
        <v>278</v>
      </c>
      <c r="J25">
        <v>0</v>
      </c>
      <c r="N25">
        <v>1000</v>
      </c>
      <c r="P25">
        <v>2056</v>
      </c>
      <c r="Q25" t="s">
        <v>76</v>
      </c>
    </row>
    <row r="26" spans="1:17" x14ac:dyDescent="0.3">
      <c r="A26" t="s">
        <v>13</v>
      </c>
      <c r="B26">
        <v>-34.852471000000001</v>
      </c>
      <c r="C26">
        <v>138.498412</v>
      </c>
      <c r="D26" s="2">
        <v>45841</v>
      </c>
      <c r="G26">
        <v>111</v>
      </c>
      <c r="H26">
        <v>944</v>
      </c>
      <c r="I26">
        <v>333</v>
      </c>
      <c r="J26">
        <v>0</v>
      </c>
      <c r="K26">
        <v>111</v>
      </c>
      <c r="N26">
        <v>778</v>
      </c>
      <c r="O26">
        <v>28</v>
      </c>
      <c r="P26">
        <v>2306</v>
      </c>
      <c r="Q26" t="s">
        <v>76</v>
      </c>
    </row>
    <row r="27" spans="1:17" x14ac:dyDescent="0.3">
      <c r="A27" t="s">
        <v>14</v>
      </c>
      <c r="B27">
        <v>-35.160139999999998</v>
      </c>
      <c r="C27">
        <v>138.47193999999999</v>
      </c>
      <c r="D27" s="2">
        <v>45841</v>
      </c>
      <c r="G27">
        <v>389</v>
      </c>
      <c r="H27">
        <v>111</v>
      </c>
      <c r="I27">
        <v>417</v>
      </c>
      <c r="J27">
        <v>83</v>
      </c>
      <c r="K27">
        <v>167</v>
      </c>
      <c r="L27">
        <v>111</v>
      </c>
      <c r="M27">
        <v>56</v>
      </c>
      <c r="N27">
        <v>167</v>
      </c>
      <c r="P27">
        <v>1417</v>
      </c>
      <c r="Q27" t="s">
        <v>76</v>
      </c>
    </row>
    <row r="28" spans="1:17" x14ac:dyDescent="0.3">
      <c r="A28" t="s">
        <v>15</v>
      </c>
      <c r="B28">
        <v>-35.152030000000003</v>
      </c>
      <c r="C28">
        <v>138.47327999999999</v>
      </c>
      <c r="D28" s="2">
        <v>45841</v>
      </c>
      <c r="G28">
        <v>28</v>
      </c>
      <c r="H28">
        <v>111</v>
      </c>
      <c r="I28">
        <v>83</v>
      </c>
      <c r="J28">
        <v>0</v>
      </c>
      <c r="K28">
        <v>56</v>
      </c>
      <c r="L28">
        <v>139</v>
      </c>
      <c r="N28">
        <v>194</v>
      </c>
      <c r="P28">
        <v>611</v>
      </c>
      <c r="Q28" t="s">
        <v>76</v>
      </c>
    </row>
    <row r="29" spans="1:17" x14ac:dyDescent="0.3">
      <c r="A29" t="s">
        <v>5</v>
      </c>
      <c r="B29">
        <v>-34.423819999999999</v>
      </c>
      <c r="C29">
        <v>137.92411999999999</v>
      </c>
      <c r="D29" s="2">
        <v>45842</v>
      </c>
      <c r="H29">
        <v>278</v>
      </c>
      <c r="I29">
        <v>889</v>
      </c>
      <c r="J29">
        <v>444</v>
      </c>
      <c r="K29">
        <v>167</v>
      </c>
      <c r="L29">
        <v>194</v>
      </c>
      <c r="O29">
        <v>28</v>
      </c>
      <c r="P29">
        <v>1556</v>
      </c>
      <c r="Q29" t="s">
        <v>76</v>
      </c>
    </row>
    <row r="30" spans="1:17" x14ac:dyDescent="0.3">
      <c r="A30" t="s">
        <v>16</v>
      </c>
      <c r="B30">
        <v>-34.274155</v>
      </c>
      <c r="C30">
        <v>138.187037</v>
      </c>
      <c r="D30" s="2">
        <v>45849</v>
      </c>
      <c r="G30">
        <v>28</v>
      </c>
      <c r="H30">
        <v>28</v>
      </c>
      <c r="J30">
        <v>0</v>
      </c>
      <c r="L30">
        <v>528</v>
      </c>
      <c r="P30">
        <v>583</v>
      </c>
      <c r="Q30" t="s">
        <v>76</v>
      </c>
    </row>
    <row r="31" spans="1:17" x14ac:dyDescent="0.3">
      <c r="A31" t="s">
        <v>94</v>
      </c>
      <c r="B31">
        <v>-35.58858</v>
      </c>
      <c r="C31">
        <v>138.60474600000001</v>
      </c>
      <c r="D31" s="2">
        <v>45850</v>
      </c>
      <c r="J31">
        <v>0</v>
      </c>
      <c r="O31">
        <v>5</v>
      </c>
      <c r="P31">
        <v>5</v>
      </c>
      <c r="Q31" t="s">
        <v>129</v>
      </c>
    </row>
    <row r="32" spans="1:17" x14ac:dyDescent="0.3">
      <c r="A32" t="s">
        <v>17</v>
      </c>
      <c r="B32">
        <v>-34.791704000000003</v>
      </c>
      <c r="C32">
        <v>138.553224</v>
      </c>
      <c r="D32" s="2">
        <v>45851</v>
      </c>
      <c r="G32">
        <v>333</v>
      </c>
      <c r="H32">
        <v>778</v>
      </c>
      <c r="I32">
        <v>1778</v>
      </c>
      <c r="J32">
        <v>389</v>
      </c>
      <c r="K32">
        <v>1056</v>
      </c>
      <c r="L32">
        <v>6889</v>
      </c>
      <c r="M32">
        <v>111</v>
      </c>
      <c r="O32">
        <v>222</v>
      </c>
      <c r="P32">
        <v>11167</v>
      </c>
      <c r="Q32" t="s">
        <v>76</v>
      </c>
    </row>
    <row r="33" spans="1:17" x14ac:dyDescent="0.3">
      <c r="A33" t="s">
        <v>95</v>
      </c>
      <c r="B33">
        <v>-35.536230000000003</v>
      </c>
      <c r="C33">
        <v>138.66919999999999</v>
      </c>
      <c r="D33" s="2">
        <v>45854</v>
      </c>
      <c r="H33">
        <v>83</v>
      </c>
      <c r="I33">
        <v>250</v>
      </c>
      <c r="J33">
        <v>0</v>
      </c>
      <c r="L33">
        <v>28</v>
      </c>
      <c r="P33">
        <v>361</v>
      </c>
      <c r="Q33" t="s">
        <v>129</v>
      </c>
    </row>
    <row r="34" spans="1:17" x14ac:dyDescent="0.3">
      <c r="A34" t="s">
        <v>96</v>
      </c>
      <c r="B34">
        <v>-34.813881000000002</v>
      </c>
      <c r="C34">
        <v>138.511787</v>
      </c>
      <c r="D34" s="2">
        <v>45854</v>
      </c>
      <c r="I34">
        <v>1667</v>
      </c>
      <c r="J34">
        <v>722</v>
      </c>
      <c r="K34">
        <v>1000</v>
      </c>
      <c r="P34">
        <v>2667</v>
      </c>
      <c r="Q34" t="s">
        <v>129</v>
      </c>
    </row>
    <row r="35" spans="1:17" x14ac:dyDescent="0.3">
      <c r="A35" t="s">
        <v>18</v>
      </c>
      <c r="B35">
        <v>-34.744259999999997</v>
      </c>
      <c r="C35">
        <v>138.53462999999999</v>
      </c>
      <c r="D35" s="2">
        <v>45856</v>
      </c>
      <c r="G35">
        <v>778</v>
      </c>
      <c r="H35">
        <v>1778</v>
      </c>
      <c r="I35">
        <v>333</v>
      </c>
      <c r="J35">
        <v>111</v>
      </c>
      <c r="K35">
        <v>611</v>
      </c>
      <c r="L35">
        <v>1833</v>
      </c>
      <c r="N35">
        <v>722</v>
      </c>
      <c r="P35">
        <v>6056</v>
      </c>
      <c r="Q35" t="s">
        <v>76</v>
      </c>
    </row>
    <row r="36" spans="1:17" x14ac:dyDescent="0.3">
      <c r="A36" t="s">
        <v>19</v>
      </c>
      <c r="B36">
        <v>-34.773001000000001</v>
      </c>
      <c r="C36">
        <v>138.48540299999999</v>
      </c>
      <c r="D36" s="2">
        <v>45856</v>
      </c>
      <c r="G36">
        <v>59</v>
      </c>
      <c r="H36">
        <v>412</v>
      </c>
      <c r="I36">
        <v>1235</v>
      </c>
      <c r="J36">
        <v>882</v>
      </c>
      <c r="K36">
        <v>353</v>
      </c>
      <c r="L36">
        <v>176</v>
      </c>
      <c r="N36">
        <v>235</v>
      </c>
      <c r="O36">
        <v>118</v>
      </c>
      <c r="P36">
        <v>2588</v>
      </c>
      <c r="Q36" t="s">
        <v>76</v>
      </c>
    </row>
    <row r="37" spans="1:17" x14ac:dyDescent="0.3">
      <c r="A37" t="s">
        <v>20</v>
      </c>
      <c r="B37">
        <v>-34.755813000000003</v>
      </c>
      <c r="C37">
        <v>138.516817</v>
      </c>
      <c r="D37" s="2">
        <v>45856</v>
      </c>
      <c r="G37">
        <v>57</v>
      </c>
      <c r="H37">
        <v>257</v>
      </c>
      <c r="I37">
        <v>314</v>
      </c>
      <c r="J37">
        <v>114</v>
      </c>
      <c r="K37">
        <v>143</v>
      </c>
      <c r="L37">
        <v>29</v>
      </c>
      <c r="M37">
        <v>28</v>
      </c>
      <c r="O37">
        <v>29</v>
      </c>
      <c r="P37">
        <v>857</v>
      </c>
      <c r="Q37" t="s">
        <v>76</v>
      </c>
    </row>
    <row r="38" spans="1:17" x14ac:dyDescent="0.3">
      <c r="A38" t="s">
        <v>21</v>
      </c>
      <c r="B38">
        <v>-34.494169999999997</v>
      </c>
      <c r="C38">
        <v>138.27999</v>
      </c>
      <c r="D38" s="2">
        <v>45858</v>
      </c>
      <c r="G38">
        <v>389</v>
      </c>
      <c r="H38">
        <v>167</v>
      </c>
      <c r="I38">
        <v>1444</v>
      </c>
      <c r="J38">
        <v>1111</v>
      </c>
      <c r="K38">
        <v>222</v>
      </c>
      <c r="L38">
        <v>444</v>
      </c>
      <c r="N38">
        <v>56</v>
      </c>
      <c r="P38">
        <v>2722</v>
      </c>
      <c r="Q38" t="s">
        <v>76</v>
      </c>
    </row>
    <row r="39" spans="1:17" x14ac:dyDescent="0.3">
      <c r="A39" t="s">
        <v>22</v>
      </c>
      <c r="B39">
        <v>-34.700049999999997</v>
      </c>
      <c r="C39">
        <v>138.47494</v>
      </c>
      <c r="D39" s="2">
        <v>45858</v>
      </c>
      <c r="F39">
        <v>2555</v>
      </c>
      <c r="G39">
        <v>222</v>
      </c>
      <c r="H39">
        <v>111</v>
      </c>
      <c r="I39">
        <v>1167</v>
      </c>
      <c r="J39">
        <v>500</v>
      </c>
      <c r="K39">
        <v>772</v>
      </c>
      <c r="L39">
        <v>4333</v>
      </c>
      <c r="M39">
        <v>56</v>
      </c>
      <c r="N39">
        <v>13500</v>
      </c>
      <c r="O39">
        <v>56</v>
      </c>
      <c r="P39">
        <v>22722</v>
      </c>
      <c r="Q39" t="s">
        <v>76</v>
      </c>
    </row>
    <row r="40" spans="1:17" x14ac:dyDescent="0.3">
      <c r="A40" t="s">
        <v>23</v>
      </c>
      <c r="B40">
        <v>-34.703029999999998</v>
      </c>
      <c r="C40">
        <v>138.46861000000001</v>
      </c>
      <c r="D40" s="2">
        <v>45858</v>
      </c>
      <c r="F40">
        <v>111</v>
      </c>
      <c r="G40">
        <v>778</v>
      </c>
      <c r="H40">
        <v>778</v>
      </c>
      <c r="I40">
        <v>3000</v>
      </c>
      <c r="J40">
        <v>1556</v>
      </c>
      <c r="K40">
        <v>2111</v>
      </c>
      <c r="L40">
        <v>1111</v>
      </c>
      <c r="N40">
        <v>1111</v>
      </c>
      <c r="O40">
        <v>222</v>
      </c>
      <c r="P40">
        <v>9222</v>
      </c>
      <c r="Q40" t="s">
        <v>76</v>
      </c>
    </row>
    <row r="41" spans="1:17" x14ac:dyDescent="0.3">
      <c r="A41" t="s">
        <v>97</v>
      </c>
      <c r="B41">
        <v>-35.037733000000003</v>
      </c>
      <c r="C41">
        <v>138.490666</v>
      </c>
      <c r="D41" s="2">
        <v>45858</v>
      </c>
      <c r="I41">
        <v>222</v>
      </c>
      <c r="J41">
        <v>56</v>
      </c>
      <c r="L41">
        <v>56</v>
      </c>
      <c r="O41">
        <v>1111</v>
      </c>
      <c r="P41">
        <v>1389</v>
      </c>
      <c r="Q41" t="s">
        <v>129</v>
      </c>
    </row>
    <row r="42" spans="1:17" x14ac:dyDescent="0.3">
      <c r="A42" t="s">
        <v>98</v>
      </c>
      <c r="B42">
        <v>-35.030088999999997</v>
      </c>
      <c r="C42">
        <v>138.49193500000001</v>
      </c>
      <c r="D42" s="2">
        <v>45858</v>
      </c>
      <c r="G42">
        <v>56</v>
      </c>
      <c r="I42">
        <v>56</v>
      </c>
      <c r="J42">
        <v>56</v>
      </c>
      <c r="L42">
        <v>56</v>
      </c>
      <c r="O42">
        <v>1111</v>
      </c>
      <c r="P42">
        <v>1279</v>
      </c>
      <c r="Q42" t="s">
        <v>129</v>
      </c>
    </row>
    <row r="43" spans="1:17" x14ac:dyDescent="0.3">
      <c r="A43" t="s">
        <v>99</v>
      </c>
      <c r="B43">
        <v>-35.551524800000003</v>
      </c>
      <c r="C43">
        <v>138.6856698</v>
      </c>
      <c r="D43" s="2">
        <v>45858</v>
      </c>
      <c r="I43">
        <v>444</v>
      </c>
      <c r="J43">
        <v>333</v>
      </c>
      <c r="O43">
        <v>556</v>
      </c>
      <c r="P43">
        <v>1000</v>
      </c>
      <c r="Q43" t="s">
        <v>129</v>
      </c>
    </row>
    <row r="44" spans="1:17" x14ac:dyDescent="0.3">
      <c r="A44" t="s">
        <v>87</v>
      </c>
      <c r="B44">
        <v>-35.573300000000003</v>
      </c>
      <c r="C44">
        <v>138.64250000000001</v>
      </c>
      <c r="D44" s="2">
        <v>45858</v>
      </c>
      <c r="I44">
        <v>111</v>
      </c>
      <c r="J44">
        <v>0</v>
      </c>
      <c r="P44">
        <v>111</v>
      </c>
      <c r="Q44" t="s">
        <v>129</v>
      </c>
    </row>
    <row r="45" spans="1:17" x14ac:dyDescent="0.3">
      <c r="A45" t="s">
        <v>100</v>
      </c>
      <c r="B45">
        <v>-35.536745000000003</v>
      </c>
      <c r="C45">
        <v>138.6913744</v>
      </c>
      <c r="D45" s="2">
        <v>45858</v>
      </c>
      <c r="I45">
        <v>667</v>
      </c>
      <c r="J45">
        <v>333</v>
      </c>
      <c r="O45">
        <v>1000</v>
      </c>
      <c r="P45">
        <v>1667</v>
      </c>
      <c r="Q45" t="s">
        <v>129</v>
      </c>
    </row>
    <row r="46" spans="1:17" x14ac:dyDescent="0.3">
      <c r="A46" t="s">
        <v>88</v>
      </c>
      <c r="B46">
        <v>-35.574167000000003</v>
      </c>
      <c r="C46">
        <v>138.61528000000001</v>
      </c>
      <c r="D46" s="2">
        <v>45858</v>
      </c>
      <c r="G46">
        <v>56</v>
      </c>
      <c r="J46">
        <v>0</v>
      </c>
      <c r="O46">
        <v>333</v>
      </c>
      <c r="P46">
        <v>389</v>
      </c>
      <c r="Q46" t="s">
        <v>129</v>
      </c>
    </row>
    <row r="47" spans="1:17" x14ac:dyDescent="0.3">
      <c r="A47" t="s">
        <v>86</v>
      </c>
      <c r="B47">
        <v>-35.540277000000003</v>
      </c>
      <c r="C47">
        <v>138.66416599999999</v>
      </c>
      <c r="D47" s="2">
        <v>45858</v>
      </c>
      <c r="I47">
        <v>111</v>
      </c>
      <c r="J47">
        <v>0</v>
      </c>
      <c r="O47">
        <v>500</v>
      </c>
      <c r="P47">
        <v>667</v>
      </c>
      <c r="Q47" t="s">
        <v>129</v>
      </c>
    </row>
    <row r="48" spans="1:17" x14ac:dyDescent="0.3">
      <c r="A48" t="s">
        <v>101</v>
      </c>
      <c r="B48">
        <v>-35.540188999999998</v>
      </c>
      <c r="C48">
        <v>138.689618</v>
      </c>
      <c r="D48" s="2">
        <v>45858</v>
      </c>
      <c r="I48">
        <v>56</v>
      </c>
      <c r="J48">
        <v>0</v>
      </c>
      <c r="O48">
        <v>722</v>
      </c>
      <c r="P48">
        <v>778</v>
      </c>
      <c r="Q48" t="s">
        <v>129</v>
      </c>
    </row>
    <row r="49" spans="1:17" x14ac:dyDescent="0.3">
      <c r="A49" t="s">
        <v>90</v>
      </c>
      <c r="B49">
        <v>-35.620086000000001</v>
      </c>
      <c r="C49">
        <v>138.56635800000001</v>
      </c>
      <c r="D49" s="2">
        <v>45858</v>
      </c>
      <c r="I49">
        <v>111</v>
      </c>
      <c r="J49">
        <v>56</v>
      </c>
      <c r="O49">
        <v>667</v>
      </c>
      <c r="P49">
        <v>778</v>
      </c>
      <c r="Q49" t="s">
        <v>129</v>
      </c>
    </row>
    <row r="50" spans="1:17" x14ac:dyDescent="0.3">
      <c r="A50" t="s">
        <v>102</v>
      </c>
      <c r="B50">
        <v>-35.560513800000003</v>
      </c>
      <c r="C50">
        <v>138.89389159999999</v>
      </c>
      <c r="D50" s="2">
        <v>45860</v>
      </c>
      <c r="F50">
        <v>167</v>
      </c>
      <c r="H50">
        <v>111</v>
      </c>
      <c r="I50">
        <v>167</v>
      </c>
      <c r="J50">
        <v>0</v>
      </c>
      <c r="L50">
        <v>278</v>
      </c>
      <c r="M50">
        <v>167</v>
      </c>
      <c r="O50">
        <v>2221</v>
      </c>
      <c r="P50">
        <v>3111</v>
      </c>
      <c r="Q50" t="s">
        <v>129</v>
      </c>
    </row>
    <row r="51" spans="1:17" x14ac:dyDescent="0.3">
      <c r="A51" t="s">
        <v>103</v>
      </c>
      <c r="B51">
        <v>-35.557317400000002</v>
      </c>
      <c r="C51">
        <v>138.88557399999999</v>
      </c>
      <c r="D51" s="2">
        <v>45860</v>
      </c>
      <c r="F51">
        <v>56</v>
      </c>
      <c r="J51">
        <v>0</v>
      </c>
      <c r="K51">
        <v>56</v>
      </c>
      <c r="L51">
        <v>56</v>
      </c>
      <c r="M51">
        <v>56</v>
      </c>
      <c r="O51">
        <v>1776</v>
      </c>
      <c r="P51">
        <v>2000</v>
      </c>
      <c r="Q51" t="s">
        <v>129</v>
      </c>
    </row>
    <row r="52" spans="1:17" x14ac:dyDescent="0.3">
      <c r="A52" t="s">
        <v>104</v>
      </c>
      <c r="B52">
        <v>-35.5272237</v>
      </c>
      <c r="C52">
        <v>138.80833699999999</v>
      </c>
      <c r="D52" s="2">
        <v>45860</v>
      </c>
      <c r="F52">
        <v>56</v>
      </c>
      <c r="J52">
        <v>0</v>
      </c>
      <c r="O52">
        <v>1000</v>
      </c>
      <c r="P52">
        <v>1056</v>
      </c>
      <c r="Q52" t="s">
        <v>129</v>
      </c>
    </row>
    <row r="53" spans="1:17" x14ac:dyDescent="0.3">
      <c r="A53" t="s">
        <v>24</v>
      </c>
      <c r="B53">
        <v>-34.889229999999998</v>
      </c>
      <c r="C53">
        <v>137.44828999999999</v>
      </c>
      <c r="D53" s="2">
        <v>45863</v>
      </c>
      <c r="G53">
        <v>14</v>
      </c>
      <c r="J53">
        <v>0</v>
      </c>
      <c r="K53">
        <v>14</v>
      </c>
      <c r="L53">
        <v>125</v>
      </c>
      <c r="M53">
        <v>97</v>
      </c>
      <c r="N53">
        <v>375</v>
      </c>
      <c r="P53">
        <v>625</v>
      </c>
      <c r="Q53" t="s">
        <v>76</v>
      </c>
    </row>
    <row r="54" spans="1:17" x14ac:dyDescent="0.3">
      <c r="A54" t="s">
        <v>105</v>
      </c>
      <c r="B54">
        <v>-34.775959999999998</v>
      </c>
      <c r="C54">
        <v>138.51910670000001</v>
      </c>
      <c r="D54" s="2">
        <v>45865</v>
      </c>
      <c r="I54">
        <v>2250</v>
      </c>
      <c r="J54">
        <v>667</v>
      </c>
      <c r="L54">
        <v>1083</v>
      </c>
      <c r="O54">
        <v>1361</v>
      </c>
      <c r="P54">
        <v>4694</v>
      </c>
      <c r="Q54" t="s">
        <v>129</v>
      </c>
    </row>
    <row r="55" spans="1:17" x14ac:dyDescent="0.3">
      <c r="A55" t="s">
        <v>106</v>
      </c>
      <c r="B55">
        <v>-34.755644699999998</v>
      </c>
      <c r="C55">
        <v>138.5168956</v>
      </c>
      <c r="D55" s="2">
        <v>45865</v>
      </c>
      <c r="I55">
        <v>1278</v>
      </c>
      <c r="J55">
        <v>667</v>
      </c>
      <c r="L55">
        <v>1722</v>
      </c>
      <c r="O55">
        <v>944</v>
      </c>
      <c r="P55">
        <v>3944</v>
      </c>
      <c r="Q55" t="s">
        <v>129</v>
      </c>
    </row>
    <row r="56" spans="1:17" x14ac:dyDescent="0.3">
      <c r="A56" t="s">
        <v>107</v>
      </c>
      <c r="B56">
        <v>-34.774178999999997</v>
      </c>
      <c r="C56">
        <v>138.4862411</v>
      </c>
      <c r="D56" s="2">
        <v>45865</v>
      </c>
      <c r="I56">
        <v>390</v>
      </c>
      <c r="J56">
        <v>167</v>
      </c>
      <c r="L56">
        <v>1889</v>
      </c>
      <c r="O56">
        <v>1556</v>
      </c>
      <c r="P56">
        <v>3835</v>
      </c>
      <c r="Q56" t="s">
        <v>129</v>
      </c>
    </row>
    <row r="57" spans="1:17" x14ac:dyDescent="0.3">
      <c r="A57" t="s">
        <v>108</v>
      </c>
      <c r="B57">
        <v>-34.761991500000001</v>
      </c>
      <c r="C57">
        <v>138.5044207</v>
      </c>
      <c r="D57" s="2">
        <v>45865</v>
      </c>
      <c r="I57">
        <v>1001</v>
      </c>
      <c r="J57">
        <v>556</v>
      </c>
      <c r="L57">
        <v>1000</v>
      </c>
      <c r="O57">
        <v>1222</v>
      </c>
      <c r="P57">
        <v>3223</v>
      </c>
      <c r="Q57" t="s">
        <v>129</v>
      </c>
    </row>
    <row r="58" spans="1:17" x14ac:dyDescent="0.3">
      <c r="A58" t="s">
        <v>25</v>
      </c>
      <c r="B58">
        <v>-34.745739999999998</v>
      </c>
      <c r="C58">
        <v>138.53829999999999</v>
      </c>
      <c r="D58" s="2">
        <v>45866</v>
      </c>
      <c r="G58">
        <v>167</v>
      </c>
      <c r="H58">
        <v>56</v>
      </c>
      <c r="I58">
        <v>778</v>
      </c>
      <c r="J58">
        <v>0</v>
      </c>
      <c r="L58">
        <v>1000</v>
      </c>
      <c r="O58">
        <v>111</v>
      </c>
      <c r="P58">
        <v>2111</v>
      </c>
      <c r="Q58" t="s">
        <v>76</v>
      </c>
    </row>
    <row r="59" spans="1:17" x14ac:dyDescent="0.3">
      <c r="A59" t="s">
        <v>19</v>
      </c>
      <c r="B59">
        <v>-34.773001000000001</v>
      </c>
      <c r="C59">
        <v>138.48540299999999</v>
      </c>
      <c r="D59" s="2">
        <v>45866</v>
      </c>
      <c r="H59">
        <v>222</v>
      </c>
      <c r="I59">
        <v>1944</v>
      </c>
      <c r="J59">
        <v>1500</v>
      </c>
      <c r="K59">
        <v>667</v>
      </c>
      <c r="L59">
        <v>3917</v>
      </c>
      <c r="O59">
        <v>111</v>
      </c>
      <c r="P59">
        <v>6861</v>
      </c>
      <c r="Q59" t="s">
        <v>76</v>
      </c>
    </row>
    <row r="60" spans="1:17" x14ac:dyDescent="0.3">
      <c r="A60" t="s">
        <v>26</v>
      </c>
      <c r="B60">
        <v>-34.781149999999997</v>
      </c>
      <c r="C60">
        <v>138.51647</v>
      </c>
      <c r="D60" s="2">
        <v>45866</v>
      </c>
      <c r="G60">
        <v>56</v>
      </c>
      <c r="H60">
        <v>278</v>
      </c>
      <c r="I60">
        <v>1389</v>
      </c>
      <c r="J60">
        <v>556</v>
      </c>
      <c r="K60">
        <v>722</v>
      </c>
      <c r="L60">
        <v>2222</v>
      </c>
      <c r="O60">
        <v>56</v>
      </c>
      <c r="P60">
        <v>4722</v>
      </c>
      <c r="Q60" t="s">
        <v>76</v>
      </c>
    </row>
    <row r="61" spans="1:17" x14ac:dyDescent="0.3">
      <c r="A61" t="s">
        <v>27</v>
      </c>
      <c r="B61">
        <v>-34.759534000000002</v>
      </c>
      <c r="C61">
        <v>138.51026200000001</v>
      </c>
      <c r="D61" s="2">
        <v>45866</v>
      </c>
      <c r="H61">
        <v>278</v>
      </c>
      <c r="I61">
        <v>944</v>
      </c>
      <c r="J61">
        <v>444</v>
      </c>
      <c r="K61">
        <v>333</v>
      </c>
      <c r="L61">
        <v>3722</v>
      </c>
      <c r="O61">
        <v>167</v>
      </c>
      <c r="P61">
        <v>5444</v>
      </c>
      <c r="Q61" t="s">
        <v>76</v>
      </c>
    </row>
    <row r="62" spans="1:17" x14ac:dyDescent="0.3">
      <c r="A62" t="s">
        <v>20</v>
      </c>
      <c r="B62">
        <v>-34.755813000000003</v>
      </c>
      <c r="C62">
        <v>138.516817</v>
      </c>
      <c r="D62" s="2">
        <v>45866</v>
      </c>
      <c r="H62">
        <v>167</v>
      </c>
      <c r="I62">
        <v>1333</v>
      </c>
      <c r="J62">
        <v>833</v>
      </c>
      <c r="K62">
        <v>333</v>
      </c>
      <c r="L62">
        <v>4333</v>
      </c>
      <c r="O62">
        <v>167</v>
      </c>
      <c r="P62">
        <v>6333</v>
      </c>
      <c r="Q62" t="s">
        <v>76</v>
      </c>
    </row>
    <row r="63" spans="1:17" x14ac:dyDescent="0.3">
      <c r="A63" t="s">
        <v>105</v>
      </c>
      <c r="B63">
        <v>-34.775959999999998</v>
      </c>
      <c r="C63">
        <v>138.51910670000001</v>
      </c>
      <c r="D63" s="2">
        <v>45867</v>
      </c>
      <c r="I63">
        <v>1333</v>
      </c>
      <c r="J63">
        <v>500</v>
      </c>
      <c r="L63">
        <v>1889</v>
      </c>
      <c r="O63">
        <v>667</v>
      </c>
      <c r="P63">
        <v>3889</v>
      </c>
      <c r="Q63" t="s">
        <v>129</v>
      </c>
    </row>
    <row r="64" spans="1:17" x14ac:dyDescent="0.3">
      <c r="A64" t="s">
        <v>109</v>
      </c>
      <c r="B64">
        <v>-34.753135</v>
      </c>
      <c r="C64">
        <v>138.52022500000001</v>
      </c>
      <c r="D64" s="2">
        <v>45867</v>
      </c>
      <c r="I64">
        <v>2445</v>
      </c>
      <c r="J64">
        <v>1111</v>
      </c>
      <c r="L64">
        <v>1278</v>
      </c>
      <c r="O64">
        <v>833</v>
      </c>
      <c r="P64">
        <v>4556</v>
      </c>
      <c r="Q64" t="s">
        <v>129</v>
      </c>
    </row>
    <row r="65" spans="1:17" x14ac:dyDescent="0.3">
      <c r="A65" t="s">
        <v>110</v>
      </c>
      <c r="B65">
        <v>-34.745396</v>
      </c>
      <c r="C65">
        <v>138.48245299999999</v>
      </c>
      <c r="D65" s="2">
        <v>45867</v>
      </c>
      <c r="I65">
        <v>2111</v>
      </c>
      <c r="J65">
        <v>1000</v>
      </c>
      <c r="L65">
        <v>1778</v>
      </c>
      <c r="O65">
        <v>1056</v>
      </c>
      <c r="P65">
        <v>4945</v>
      </c>
      <c r="Q65" t="s">
        <v>129</v>
      </c>
    </row>
    <row r="66" spans="1:17" x14ac:dyDescent="0.3">
      <c r="A66" t="s">
        <v>111</v>
      </c>
      <c r="B66">
        <v>-34.763468000000003</v>
      </c>
      <c r="C66">
        <v>138.499312</v>
      </c>
      <c r="D66" s="2">
        <v>45868</v>
      </c>
      <c r="I66">
        <v>3723</v>
      </c>
      <c r="J66">
        <v>1944</v>
      </c>
      <c r="L66">
        <v>6055</v>
      </c>
      <c r="O66">
        <v>1278</v>
      </c>
      <c r="P66">
        <v>11056</v>
      </c>
      <c r="Q66" t="s">
        <v>129</v>
      </c>
    </row>
    <row r="67" spans="1:17" x14ac:dyDescent="0.3">
      <c r="A67" t="s">
        <v>112</v>
      </c>
      <c r="B67">
        <v>-34.775306999999998</v>
      </c>
      <c r="C67">
        <v>138.49066300000001</v>
      </c>
      <c r="D67" s="2">
        <v>45868</v>
      </c>
      <c r="I67">
        <v>22111</v>
      </c>
      <c r="J67">
        <v>10944</v>
      </c>
      <c r="L67">
        <v>5556</v>
      </c>
      <c r="O67">
        <v>3389</v>
      </c>
      <c r="P67">
        <v>31056</v>
      </c>
      <c r="Q67" t="s">
        <v>129</v>
      </c>
    </row>
    <row r="68" spans="1:17" x14ac:dyDescent="0.3">
      <c r="A68" t="s">
        <v>113</v>
      </c>
      <c r="B68">
        <v>-34.740545900000001</v>
      </c>
      <c r="C68">
        <v>138.5199417</v>
      </c>
      <c r="D68" s="2">
        <v>45869</v>
      </c>
      <c r="I68">
        <v>5000</v>
      </c>
      <c r="J68">
        <v>2222</v>
      </c>
      <c r="L68">
        <v>10400</v>
      </c>
      <c r="O68">
        <v>8778</v>
      </c>
      <c r="P68">
        <v>24178</v>
      </c>
      <c r="Q68" t="s">
        <v>129</v>
      </c>
    </row>
    <row r="69" spans="1:17" x14ac:dyDescent="0.3">
      <c r="A69" t="s">
        <v>105</v>
      </c>
      <c r="B69">
        <v>-34.775959999999998</v>
      </c>
      <c r="C69">
        <v>138.51910670000001</v>
      </c>
      <c r="D69" s="2">
        <v>45869</v>
      </c>
      <c r="I69">
        <v>890</v>
      </c>
      <c r="J69">
        <v>222</v>
      </c>
      <c r="L69">
        <v>3611</v>
      </c>
      <c r="O69">
        <v>444</v>
      </c>
      <c r="P69">
        <v>4945</v>
      </c>
      <c r="Q69" t="s">
        <v>129</v>
      </c>
    </row>
    <row r="70" spans="1:17" x14ac:dyDescent="0.3">
      <c r="A70" t="s">
        <v>114</v>
      </c>
      <c r="B70">
        <v>-34.767232</v>
      </c>
      <c r="C70">
        <v>138.47986599999999</v>
      </c>
      <c r="D70" s="2">
        <v>45869</v>
      </c>
      <c r="I70">
        <v>2000</v>
      </c>
      <c r="J70">
        <v>944</v>
      </c>
      <c r="L70">
        <v>5556</v>
      </c>
      <c r="O70">
        <v>1056</v>
      </c>
      <c r="P70">
        <v>8612</v>
      </c>
      <c r="Q70" t="s">
        <v>129</v>
      </c>
    </row>
    <row r="71" spans="1:17" x14ac:dyDescent="0.3">
      <c r="A71" t="s">
        <v>28</v>
      </c>
      <c r="B71">
        <v>-33.224420000000002</v>
      </c>
      <c r="C71">
        <v>137.48194699999999</v>
      </c>
      <c r="D71" s="2">
        <v>45871</v>
      </c>
      <c r="F71" s="4"/>
      <c r="G71" s="4">
        <v>83.333333333333314</v>
      </c>
      <c r="H71" s="4"/>
      <c r="I71" s="4">
        <v>83.333333333333314</v>
      </c>
      <c r="J71" s="4">
        <v>0</v>
      </c>
      <c r="K71" s="4">
        <v>111.11111111111111</v>
      </c>
      <c r="L71" s="4">
        <v>27.777777777777779</v>
      </c>
      <c r="M71" s="4"/>
      <c r="N71" s="4">
        <v>250</v>
      </c>
      <c r="O71" s="4">
        <v>27.777777777777779</v>
      </c>
      <c r="P71" s="4">
        <v>583.33333333333326</v>
      </c>
      <c r="Q71" t="s">
        <v>76</v>
      </c>
    </row>
    <row r="72" spans="1:17" x14ac:dyDescent="0.3">
      <c r="A72" t="s">
        <v>28</v>
      </c>
      <c r="B72">
        <v>-33.239246999999999</v>
      </c>
      <c r="C72">
        <v>137.471722</v>
      </c>
      <c r="D72" s="2">
        <v>45871</v>
      </c>
      <c r="F72" s="4"/>
      <c r="G72" s="4">
        <v>37.037037037037038</v>
      </c>
      <c r="H72" s="4"/>
      <c r="I72" s="4">
        <v>55.55555555555555</v>
      </c>
      <c r="J72" s="4">
        <v>0</v>
      </c>
      <c r="K72" s="4">
        <v>18.518518518518519</v>
      </c>
      <c r="L72" s="4">
        <v>55.55555555555555</v>
      </c>
      <c r="M72" s="4"/>
      <c r="N72" s="4">
        <v>111.1111111111111</v>
      </c>
      <c r="O72" s="4"/>
      <c r="P72" s="4">
        <v>277.77777777777777</v>
      </c>
      <c r="Q72" t="s">
        <v>76</v>
      </c>
    </row>
    <row r="73" spans="1:17" x14ac:dyDescent="0.3">
      <c r="A73" t="s">
        <v>28</v>
      </c>
      <c r="B73">
        <v>-33.257523999999997</v>
      </c>
      <c r="C73">
        <v>137.46965399999999</v>
      </c>
      <c r="D73" s="2">
        <v>45871</v>
      </c>
      <c r="F73" s="4"/>
      <c r="G73" s="4"/>
      <c r="H73" s="4">
        <v>18.518518518518519</v>
      </c>
      <c r="I73" s="4">
        <v>18.518518518518519</v>
      </c>
      <c r="J73" s="4">
        <v>0</v>
      </c>
      <c r="K73" s="4">
        <v>37.037037037037038</v>
      </c>
      <c r="L73" s="4">
        <v>92.592592592592595</v>
      </c>
      <c r="M73" s="4"/>
      <c r="N73" s="4">
        <v>129.62962962962962</v>
      </c>
      <c r="O73" s="4"/>
      <c r="P73" s="4">
        <v>296.2962962962963</v>
      </c>
      <c r="Q73" t="s">
        <v>76</v>
      </c>
    </row>
    <row r="74" spans="1:17" x14ac:dyDescent="0.3">
      <c r="A74" t="s">
        <v>28</v>
      </c>
      <c r="B74">
        <v>-33.260413</v>
      </c>
      <c r="C74">
        <v>137.47871499999999</v>
      </c>
      <c r="D74" s="2">
        <v>45871</v>
      </c>
      <c r="F74" s="4"/>
      <c r="G74" s="4"/>
      <c r="H74" s="4"/>
      <c r="I74" s="4">
        <v>37.037037037037038</v>
      </c>
      <c r="J74" s="4">
        <v>0</v>
      </c>
      <c r="K74" s="4">
        <v>55.55555555555555</v>
      </c>
      <c r="L74" s="4">
        <v>37.037037037037038</v>
      </c>
      <c r="M74" s="4">
        <v>18.518518518518519</v>
      </c>
      <c r="N74" s="4">
        <v>55.55555555555555</v>
      </c>
      <c r="O74" s="4"/>
      <c r="P74" s="4">
        <v>203.7037037037037</v>
      </c>
      <c r="Q74" t="s">
        <v>76</v>
      </c>
    </row>
    <row r="75" spans="1:17" x14ac:dyDescent="0.3">
      <c r="A75" t="s">
        <v>28</v>
      </c>
      <c r="B75">
        <v>-33.244988999999997</v>
      </c>
      <c r="C75">
        <v>137.482709</v>
      </c>
      <c r="D75" s="2">
        <v>45871</v>
      </c>
      <c r="F75" s="4"/>
      <c r="G75" s="4">
        <v>18.867924528301888</v>
      </c>
      <c r="H75" s="4"/>
      <c r="I75" s="4">
        <v>37.735849056603776</v>
      </c>
      <c r="J75" s="4">
        <v>0</v>
      </c>
      <c r="K75" s="4">
        <v>56.603773584905653</v>
      </c>
      <c r="L75" s="4">
        <v>18.867924528301888</v>
      </c>
      <c r="M75" s="4">
        <v>18.867924528301888</v>
      </c>
      <c r="N75" s="4">
        <v>75.471698113207552</v>
      </c>
      <c r="O75" s="4"/>
      <c r="P75" s="4">
        <v>226.41509433962267</v>
      </c>
      <c r="Q75" t="s">
        <v>76</v>
      </c>
    </row>
    <row r="76" spans="1:17" x14ac:dyDescent="0.3">
      <c r="A76" t="s">
        <v>28</v>
      </c>
      <c r="B76">
        <v>-33.230874</v>
      </c>
      <c r="C76">
        <v>137.49722299999999</v>
      </c>
      <c r="D76" s="2">
        <v>45871</v>
      </c>
      <c r="F76" s="4"/>
      <c r="G76" s="4"/>
      <c r="H76" s="4">
        <v>18.518518518518519</v>
      </c>
      <c r="I76" s="4">
        <v>55.55555555555555</v>
      </c>
      <c r="J76" s="4">
        <v>0</v>
      </c>
      <c r="K76" s="4">
        <v>37.037037037037038</v>
      </c>
      <c r="L76" s="4"/>
      <c r="M76" s="4">
        <v>18.518518518518519</v>
      </c>
      <c r="N76" s="4">
        <v>18.518518518518519</v>
      </c>
      <c r="O76" s="4">
        <v>18.518518518518519</v>
      </c>
      <c r="P76" s="4">
        <v>166.66666666666669</v>
      </c>
      <c r="Q76" t="s">
        <v>76</v>
      </c>
    </row>
    <row r="77" spans="1:17" x14ac:dyDescent="0.3">
      <c r="A77" t="s">
        <v>115</v>
      </c>
      <c r="B77">
        <v>-34.075238300000002</v>
      </c>
      <c r="C77">
        <v>137.5442348</v>
      </c>
      <c r="D77" s="2">
        <v>45871</v>
      </c>
      <c r="I77">
        <v>389</v>
      </c>
      <c r="J77">
        <v>0</v>
      </c>
      <c r="O77">
        <v>2056</v>
      </c>
      <c r="P77">
        <v>2445</v>
      </c>
      <c r="Q77" t="s">
        <v>129</v>
      </c>
    </row>
    <row r="78" spans="1:17" x14ac:dyDescent="0.3">
      <c r="A78" t="s">
        <v>116</v>
      </c>
      <c r="B78">
        <v>-34.075238300000002</v>
      </c>
      <c r="C78">
        <v>137.5442348</v>
      </c>
      <c r="D78" s="2">
        <v>45871</v>
      </c>
      <c r="J78">
        <v>0</v>
      </c>
      <c r="L78">
        <v>56</v>
      </c>
      <c r="O78">
        <v>445</v>
      </c>
      <c r="P78">
        <v>501</v>
      </c>
      <c r="Q78" t="s">
        <v>129</v>
      </c>
    </row>
    <row r="79" spans="1:17" x14ac:dyDescent="0.3">
      <c r="A79" t="s">
        <v>157</v>
      </c>
      <c r="B79">
        <v>-35.576326000000002</v>
      </c>
      <c r="C79">
        <v>138.60467</v>
      </c>
      <c r="D79" s="2">
        <v>45871</v>
      </c>
      <c r="I79">
        <v>167</v>
      </c>
      <c r="J79">
        <v>0</v>
      </c>
      <c r="O79">
        <v>389</v>
      </c>
      <c r="P79">
        <v>556</v>
      </c>
      <c r="Q79" t="s">
        <v>129</v>
      </c>
    </row>
    <row r="80" spans="1:17" x14ac:dyDescent="0.3">
      <c r="A80" t="s">
        <v>158</v>
      </c>
      <c r="B80">
        <v>-35.588501999999998</v>
      </c>
      <c r="C80">
        <v>138.60444200000001</v>
      </c>
      <c r="D80" s="2">
        <v>45871</v>
      </c>
      <c r="J80">
        <v>0</v>
      </c>
      <c r="O80">
        <v>56</v>
      </c>
      <c r="P80">
        <v>56</v>
      </c>
      <c r="Q80" t="s">
        <v>129</v>
      </c>
    </row>
    <row r="81" spans="1:17" x14ac:dyDescent="0.3">
      <c r="A81" t="s">
        <v>29</v>
      </c>
      <c r="B81">
        <v>-34.567259999999997</v>
      </c>
      <c r="C81">
        <v>137.49447000000001</v>
      </c>
      <c r="D81" s="2">
        <v>45872</v>
      </c>
      <c r="G81">
        <v>19</v>
      </c>
      <c r="H81">
        <v>19</v>
      </c>
      <c r="I81">
        <v>19</v>
      </c>
      <c r="J81">
        <v>0</v>
      </c>
      <c r="L81">
        <v>56</v>
      </c>
      <c r="M81">
        <v>19</v>
      </c>
      <c r="N81">
        <v>167</v>
      </c>
      <c r="O81">
        <v>19</v>
      </c>
      <c r="P81">
        <v>315</v>
      </c>
      <c r="Q81" t="s">
        <v>76</v>
      </c>
    </row>
    <row r="82" spans="1:17" x14ac:dyDescent="0.3">
      <c r="A82" t="s">
        <v>30</v>
      </c>
      <c r="B82">
        <v>-33.181420000000003</v>
      </c>
      <c r="C82">
        <v>138.01680999999999</v>
      </c>
      <c r="D82" s="2">
        <v>45873</v>
      </c>
      <c r="G82">
        <v>167</v>
      </c>
      <c r="H82">
        <v>722</v>
      </c>
      <c r="I82">
        <v>333</v>
      </c>
      <c r="J82">
        <v>0</v>
      </c>
      <c r="K82">
        <v>250</v>
      </c>
      <c r="L82">
        <v>444</v>
      </c>
      <c r="N82">
        <v>83</v>
      </c>
      <c r="O82">
        <v>83</v>
      </c>
      <c r="P82">
        <v>2083</v>
      </c>
      <c r="Q82" t="s">
        <v>76</v>
      </c>
    </row>
    <row r="83" spans="1:17" x14ac:dyDescent="0.3">
      <c r="A83" t="s">
        <v>31</v>
      </c>
      <c r="B83">
        <v>-33.103079999999999</v>
      </c>
      <c r="C83">
        <v>138.02359999999999</v>
      </c>
      <c r="D83" s="2">
        <v>45873</v>
      </c>
      <c r="G83">
        <v>19</v>
      </c>
      <c r="H83">
        <v>74</v>
      </c>
      <c r="I83">
        <v>19</v>
      </c>
      <c r="J83">
        <v>0</v>
      </c>
      <c r="K83">
        <v>19</v>
      </c>
      <c r="L83">
        <v>167</v>
      </c>
      <c r="M83">
        <v>19</v>
      </c>
      <c r="N83">
        <v>130</v>
      </c>
      <c r="O83">
        <v>19</v>
      </c>
      <c r="P83">
        <v>463</v>
      </c>
      <c r="Q83" t="s">
        <v>76</v>
      </c>
    </row>
    <row r="84" spans="1:17" x14ac:dyDescent="0.3">
      <c r="A84" t="s">
        <v>32</v>
      </c>
      <c r="B84">
        <v>-33.024749999999997</v>
      </c>
      <c r="C84">
        <v>137.99793</v>
      </c>
      <c r="D84" s="2">
        <v>45873</v>
      </c>
      <c r="G84">
        <v>93</v>
      </c>
      <c r="H84">
        <v>241</v>
      </c>
      <c r="I84">
        <v>74</v>
      </c>
      <c r="J84">
        <v>0</v>
      </c>
      <c r="K84">
        <v>93</v>
      </c>
      <c r="L84">
        <v>296</v>
      </c>
      <c r="N84">
        <v>167</v>
      </c>
      <c r="O84">
        <v>19</v>
      </c>
      <c r="P84">
        <v>981</v>
      </c>
      <c r="Q84" t="s">
        <v>76</v>
      </c>
    </row>
    <row r="85" spans="1:17" x14ac:dyDescent="0.3">
      <c r="A85" t="s">
        <v>33</v>
      </c>
      <c r="B85">
        <v>-33.017960000000002</v>
      </c>
      <c r="C85">
        <v>137.60166000000001</v>
      </c>
      <c r="D85" s="2">
        <v>45876</v>
      </c>
      <c r="F85" s="4"/>
      <c r="G85" s="4">
        <v>42</v>
      </c>
      <c r="H85" s="4">
        <v>28</v>
      </c>
      <c r="I85" s="4">
        <v>111</v>
      </c>
      <c r="J85" s="4">
        <v>0</v>
      </c>
      <c r="K85" s="4">
        <v>139</v>
      </c>
      <c r="L85" s="4">
        <v>125</v>
      </c>
      <c r="M85" s="4">
        <v>14</v>
      </c>
      <c r="N85" s="4">
        <v>167</v>
      </c>
      <c r="O85" s="4"/>
      <c r="P85" s="4">
        <v>625</v>
      </c>
      <c r="Q85" t="s">
        <v>76</v>
      </c>
    </row>
    <row r="86" spans="1:17" x14ac:dyDescent="0.3">
      <c r="A86" t="s">
        <v>153</v>
      </c>
      <c r="B86">
        <v>-35.661008000000002</v>
      </c>
      <c r="C86">
        <v>137.630403</v>
      </c>
      <c r="D86" s="2">
        <v>45876</v>
      </c>
      <c r="I86">
        <v>167</v>
      </c>
      <c r="J86">
        <v>0</v>
      </c>
      <c r="L86">
        <v>389</v>
      </c>
      <c r="O86">
        <v>1778</v>
      </c>
      <c r="P86">
        <v>2334</v>
      </c>
      <c r="Q86" t="s">
        <v>129</v>
      </c>
    </row>
    <row r="87" spans="1:17" x14ac:dyDescent="0.3">
      <c r="A87" t="s">
        <v>155</v>
      </c>
      <c r="B87">
        <v>-35.571258999999998</v>
      </c>
      <c r="C87">
        <v>137.6004226</v>
      </c>
      <c r="D87" s="2">
        <v>45876</v>
      </c>
      <c r="J87">
        <v>0</v>
      </c>
      <c r="O87">
        <v>2222</v>
      </c>
      <c r="P87">
        <v>2222</v>
      </c>
      <c r="Q87" t="s">
        <v>129</v>
      </c>
    </row>
    <row r="88" spans="1:17" x14ac:dyDescent="0.3">
      <c r="A88" t="s">
        <v>156</v>
      </c>
      <c r="B88">
        <v>-35.638609789999997</v>
      </c>
      <c r="C88">
        <v>137.62514150000001</v>
      </c>
      <c r="D88" s="2">
        <v>45876</v>
      </c>
      <c r="J88">
        <v>0</v>
      </c>
      <c r="O88">
        <v>3889</v>
      </c>
      <c r="P88">
        <v>3889</v>
      </c>
      <c r="Q88" t="s">
        <v>129</v>
      </c>
    </row>
    <row r="89" spans="1:17" x14ac:dyDescent="0.3">
      <c r="A89" t="s">
        <v>159</v>
      </c>
      <c r="B89">
        <v>-35.535169000000003</v>
      </c>
      <c r="C89">
        <v>138.68430599999999</v>
      </c>
      <c r="D89" s="2">
        <v>45876</v>
      </c>
      <c r="I89">
        <v>111</v>
      </c>
      <c r="J89">
        <v>56</v>
      </c>
      <c r="O89">
        <v>278</v>
      </c>
      <c r="P89">
        <v>389</v>
      </c>
      <c r="Q89" t="s">
        <v>129</v>
      </c>
    </row>
    <row r="90" spans="1:17" x14ac:dyDescent="0.3">
      <c r="A90" t="s">
        <v>34</v>
      </c>
      <c r="B90">
        <v>-34.444301000000003</v>
      </c>
      <c r="C90">
        <v>138.19254900000001</v>
      </c>
      <c r="D90" s="2">
        <v>45877</v>
      </c>
      <c r="G90">
        <v>37</v>
      </c>
      <c r="H90">
        <v>56</v>
      </c>
      <c r="I90">
        <v>315</v>
      </c>
      <c r="J90">
        <v>259</v>
      </c>
      <c r="K90">
        <v>74</v>
      </c>
      <c r="L90">
        <v>148</v>
      </c>
      <c r="M90">
        <v>37</v>
      </c>
      <c r="N90">
        <v>37</v>
      </c>
      <c r="O90">
        <v>19</v>
      </c>
      <c r="P90">
        <v>722</v>
      </c>
      <c r="Q90" t="s">
        <v>76</v>
      </c>
    </row>
    <row r="91" spans="1:17" x14ac:dyDescent="0.3">
      <c r="A91" s="2" t="s">
        <v>35</v>
      </c>
      <c r="B91">
        <v>-34.812190000000001</v>
      </c>
      <c r="C91">
        <v>138.53881999999999</v>
      </c>
      <c r="D91" s="2">
        <v>45877</v>
      </c>
      <c r="G91">
        <v>14</v>
      </c>
      <c r="I91">
        <v>111</v>
      </c>
      <c r="J91">
        <v>42</v>
      </c>
      <c r="K91">
        <v>69</v>
      </c>
      <c r="L91">
        <v>83</v>
      </c>
      <c r="M91">
        <v>125</v>
      </c>
      <c r="O91">
        <v>14</v>
      </c>
      <c r="P91">
        <v>417</v>
      </c>
      <c r="Q91" t="s">
        <v>76</v>
      </c>
    </row>
    <row r="92" spans="1:17" x14ac:dyDescent="0.3">
      <c r="A92" t="s">
        <v>36</v>
      </c>
      <c r="B92">
        <v>-35.136479999999999</v>
      </c>
      <c r="C92">
        <v>138.46857</v>
      </c>
      <c r="D92" s="2">
        <v>45877</v>
      </c>
      <c r="G92">
        <v>130</v>
      </c>
      <c r="I92">
        <v>278</v>
      </c>
      <c r="J92">
        <v>185</v>
      </c>
      <c r="L92">
        <v>111</v>
      </c>
      <c r="P92">
        <v>519</v>
      </c>
      <c r="Q92" t="s">
        <v>76</v>
      </c>
    </row>
    <row r="93" spans="1:17" x14ac:dyDescent="0.3">
      <c r="A93" t="s">
        <v>37</v>
      </c>
      <c r="B93">
        <v>-34.289369999999998</v>
      </c>
      <c r="C93">
        <v>138.01242999999999</v>
      </c>
      <c r="D93" s="2">
        <v>45877</v>
      </c>
      <c r="G93">
        <v>333</v>
      </c>
      <c r="H93" s="2"/>
      <c r="I93">
        <v>6889</v>
      </c>
      <c r="J93">
        <v>6111</v>
      </c>
      <c r="K93">
        <v>111</v>
      </c>
      <c r="L93">
        <v>5111</v>
      </c>
      <c r="M93">
        <v>111</v>
      </c>
      <c r="O93">
        <v>28</v>
      </c>
      <c r="P93">
        <v>12583</v>
      </c>
      <c r="Q93" t="s">
        <v>76</v>
      </c>
    </row>
    <row r="94" spans="1:17" x14ac:dyDescent="0.3">
      <c r="A94" t="s">
        <v>153</v>
      </c>
      <c r="B94">
        <v>-35.661008000000002</v>
      </c>
      <c r="C94">
        <v>137.630403</v>
      </c>
      <c r="D94" s="2">
        <v>45877</v>
      </c>
      <c r="J94">
        <v>0</v>
      </c>
      <c r="O94">
        <v>2222</v>
      </c>
      <c r="P94">
        <v>2222</v>
      </c>
      <c r="Q94" t="s">
        <v>129</v>
      </c>
    </row>
    <row r="95" spans="1:17" x14ac:dyDescent="0.3">
      <c r="A95" t="s">
        <v>154</v>
      </c>
      <c r="B95">
        <v>-35.655576000000003</v>
      </c>
      <c r="C95">
        <v>137.641276</v>
      </c>
      <c r="D95" s="2">
        <v>45877</v>
      </c>
      <c r="J95">
        <v>0</v>
      </c>
      <c r="O95">
        <v>278</v>
      </c>
      <c r="P95">
        <v>278</v>
      </c>
      <c r="Q95" t="s">
        <v>129</v>
      </c>
    </row>
    <row r="96" spans="1:17" x14ac:dyDescent="0.3">
      <c r="A96" t="s">
        <v>94</v>
      </c>
      <c r="B96">
        <v>-35.588650000000001</v>
      </c>
      <c r="C96">
        <v>138.60467800000001</v>
      </c>
      <c r="D96" s="2">
        <v>45877</v>
      </c>
      <c r="I96">
        <v>56</v>
      </c>
      <c r="J96">
        <v>0</v>
      </c>
      <c r="O96">
        <v>222</v>
      </c>
      <c r="P96">
        <v>278</v>
      </c>
      <c r="Q96" t="s">
        <v>129</v>
      </c>
    </row>
    <row r="97" spans="1:17" x14ac:dyDescent="0.3">
      <c r="A97" t="s">
        <v>140</v>
      </c>
      <c r="B97">
        <v>-35.759517729999999</v>
      </c>
      <c r="C97">
        <v>137.79411350000001</v>
      </c>
      <c r="D97" s="2">
        <v>45878</v>
      </c>
      <c r="J97">
        <v>0</v>
      </c>
      <c r="O97">
        <v>1555</v>
      </c>
      <c r="P97">
        <v>1555</v>
      </c>
      <c r="Q97" t="s">
        <v>129</v>
      </c>
    </row>
    <row r="98" spans="1:17" x14ac:dyDescent="0.3">
      <c r="A98" t="s">
        <v>141</v>
      </c>
      <c r="B98">
        <v>-35.786764689999998</v>
      </c>
      <c r="C98">
        <v>137.77344500000001</v>
      </c>
      <c r="D98" s="2">
        <v>45878</v>
      </c>
      <c r="I98">
        <v>333</v>
      </c>
      <c r="J98">
        <v>0</v>
      </c>
      <c r="L98">
        <v>3333</v>
      </c>
      <c r="O98">
        <v>10667</v>
      </c>
      <c r="P98">
        <v>14333</v>
      </c>
      <c r="Q98" t="s">
        <v>129</v>
      </c>
    </row>
    <row r="99" spans="1:17" x14ac:dyDescent="0.3">
      <c r="A99" t="s">
        <v>152</v>
      </c>
      <c r="B99">
        <v>-35.824725999999998</v>
      </c>
      <c r="C99">
        <v>137.75102200000001</v>
      </c>
      <c r="D99" s="2">
        <v>45878</v>
      </c>
      <c r="J99">
        <v>0</v>
      </c>
      <c r="O99">
        <v>1111</v>
      </c>
      <c r="P99">
        <v>1111</v>
      </c>
      <c r="Q99" t="s">
        <v>129</v>
      </c>
    </row>
    <row r="100" spans="1:17" x14ac:dyDescent="0.3">
      <c r="A100" t="s">
        <v>160</v>
      </c>
      <c r="B100">
        <v>-35.515300000000003</v>
      </c>
      <c r="C100">
        <v>138.73051799999999</v>
      </c>
      <c r="D100" s="2">
        <v>45879</v>
      </c>
      <c r="J100">
        <v>0</v>
      </c>
      <c r="L100" s="6">
        <v>17111</v>
      </c>
      <c r="O100">
        <v>222</v>
      </c>
      <c r="P100" s="6">
        <v>17333</v>
      </c>
      <c r="Q100" t="s">
        <v>129</v>
      </c>
    </row>
    <row r="101" spans="1:17" x14ac:dyDescent="0.3">
      <c r="A101" t="s">
        <v>34</v>
      </c>
      <c r="B101">
        <v>-34.444301000000003</v>
      </c>
      <c r="C101">
        <v>138.19254900000001</v>
      </c>
      <c r="D101" s="2">
        <v>45880</v>
      </c>
      <c r="G101">
        <v>250</v>
      </c>
      <c r="H101">
        <v>126</v>
      </c>
      <c r="I101">
        <v>2813</v>
      </c>
      <c r="J101">
        <v>2500</v>
      </c>
      <c r="K101">
        <v>375</v>
      </c>
      <c r="L101">
        <v>875</v>
      </c>
      <c r="M101">
        <v>63</v>
      </c>
      <c r="N101">
        <v>188</v>
      </c>
      <c r="P101">
        <v>4688</v>
      </c>
      <c r="Q101" t="s">
        <v>76</v>
      </c>
    </row>
    <row r="102" spans="1:17" x14ac:dyDescent="0.3">
      <c r="A102" t="s">
        <v>38</v>
      </c>
      <c r="B102">
        <v>-34.507817000000003</v>
      </c>
      <c r="C102">
        <v>138.274338</v>
      </c>
      <c r="D102" s="2">
        <v>45880</v>
      </c>
      <c r="H102">
        <v>278</v>
      </c>
      <c r="I102">
        <v>2056</v>
      </c>
      <c r="J102">
        <v>1444</v>
      </c>
      <c r="K102">
        <v>500</v>
      </c>
      <c r="L102">
        <v>3056</v>
      </c>
      <c r="P102">
        <v>5889</v>
      </c>
      <c r="Q102" t="s">
        <v>76</v>
      </c>
    </row>
    <row r="103" spans="1:17" x14ac:dyDescent="0.3">
      <c r="A103" t="s">
        <v>39</v>
      </c>
      <c r="B103">
        <v>-34.492910999999999</v>
      </c>
      <c r="C103">
        <v>138.26936799999999</v>
      </c>
      <c r="D103" s="2">
        <v>45880</v>
      </c>
      <c r="H103">
        <v>167</v>
      </c>
      <c r="I103">
        <v>2222</v>
      </c>
      <c r="J103">
        <v>1611</v>
      </c>
      <c r="K103">
        <v>667</v>
      </c>
      <c r="L103">
        <v>667</v>
      </c>
      <c r="N103">
        <v>13000</v>
      </c>
      <c r="O103">
        <v>111</v>
      </c>
      <c r="P103">
        <v>17722</v>
      </c>
      <c r="Q103" t="s">
        <v>76</v>
      </c>
    </row>
    <row r="104" spans="1:17" x14ac:dyDescent="0.3">
      <c r="A104" t="s">
        <v>40</v>
      </c>
      <c r="B104">
        <v>-38.04683</v>
      </c>
      <c r="C104">
        <v>140.79902999999999</v>
      </c>
      <c r="D104" s="2">
        <v>45880</v>
      </c>
      <c r="G104">
        <v>14</v>
      </c>
      <c r="H104">
        <v>56</v>
      </c>
      <c r="I104">
        <v>56</v>
      </c>
      <c r="J104">
        <v>0</v>
      </c>
      <c r="K104">
        <v>56</v>
      </c>
      <c r="L104">
        <v>306</v>
      </c>
      <c r="P104">
        <v>417</v>
      </c>
      <c r="Q104" t="s">
        <v>76</v>
      </c>
    </row>
    <row r="105" spans="1:17" x14ac:dyDescent="0.3">
      <c r="A105" t="s">
        <v>41</v>
      </c>
      <c r="B105">
        <v>-38.059890000000003</v>
      </c>
      <c r="C105">
        <v>140.75377</v>
      </c>
      <c r="D105" s="2">
        <v>45880</v>
      </c>
      <c r="H105">
        <v>1444</v>
      </c>
      <c r="I105">
        <v>389</v>
      </c>
      <c r="J105">
        <v>0</v>
      </c>
      <c r="K105">
        <v>167</v>
      </c>
      <c r="L105">
        <v>2000</v>
      </c>
      <c r="M105">
        <v>778</v>
      </c>
      <c r="P105">
        <v>722</v>
      </c>
      <c r="Q105" t="s">
        <v>76</v>
      </c>
    </row>
    <row r="106" spans="1:17" x14ac:dyDescent="0.3">
      <c r="A106" t="s">
        <v>41</v>
      </c>
      <c r="B106">
        <v>-38.059890000000003</v>
      </c>
      <c r="C106">
        <v>140.75377</v>
      </c>
      <c r="D106" s="2">
        <v>45880</v>
      </c>
      <c r="G106">
        <v>111</v>
      </c>
      <c r="H106">
        <v>1111</v>
      </c>
      <c r="I106">
        <v>56</v>
      </c>
      <c r="J106">
        <v>0</v>
      </c>
      <c r="K106">
        <v>111</v>
      </c>
      <c r="L106">
        <v>2889</v>
      </c>
      <c r="M106">
        <v>611</v>
      </c>
      <c r="P106">
        <v>519</v>
      </c>
      <c r="Q106" t="s">
        <v>76</v>
      </c>
    </row>
    <row r="107" spans="1:17" x14ac:dyDescent="0.3">
      <c r="A107" t="s">
        <v>92</v>
      </c>
      <c r="B107">
        <v>-35.6360308</v>
      </c>
      <c r="C107">
        <v>138.5048433</v>
      </c>
      <c r="D107" s="2">
        <v>45880</v>
      </c>
      <c r="I107">
        <v>722</v>
      </c>
      <c r="J107">
        <v>278</v>
      </c>
      <c r="O107">
        <v>56</v>
      </c>
      <c r="P107">
        <v>778</v>
      </c>
      <c r="Q107" t="s">
        <v>129</v>
      </c>
    </row>
    <row r="108" spans="1:17" x14ac:dyDescent="0.3">
      <c r="A108" t="s">
        <v>42</v>
      </c>
      <c r="B108">
        <v>-34.893830000000001</v>
      </c>
      <c r="C108">
        <v>138.49006</v>
      </c>
      <c r="D108" s="2">
        <v>45881</v>
      </c>
      <c r="I108">
        <v>187222</v>
      </c>
      <c r="J108">
        <v>184000</v>
      </c>
      <c r="L108">
        <v>167</v>
      </c>
      <c r="O108">
        <v>222</v>
      </c>
      <c r="P108">
        <v>187611</v>
      </c>
      <c r="Q108" t="s">
        <v>76</v>
      </c>
    </row>
    <row r="109" spans="1:17" x14ac:dyDescent="0.3">
      <c r="A109" t="s">
        <v>43</v>
      </c>
      <c r="B109">
        <v>-34.89132</v>
      </c>
      <c r="C109">
        <v>138.49034900000001</v>
      </c>
      <c r="D109" s="2">
        <v>45881</v>
      </c>
      <c r="G109">
        <v>1778</v>
      </c>
      <c r="H109">
        <v>278</v>
      </c>
      <c r="I109">
        <v>4111</v>
      </c>
      <c r="J109">
        <v>3222</v>
      </c>
      <c r="K109">
        <v>2222</v>
      </c>
      <c r="L109">
        <v>111</v>
      </c>
      <c r="M109">
        <v>56</v>
      </c>
      <c r="O109">
        <v>111</v>
      </c>
      <c r="P109">
        <v>8667</v>
      </c>
      <c r="Q109" t="s">
        <v>76</v>
      </c>
    </row>
    <row r="110" spans="1:17" x14ac:dyDescent="0.3">
      <c r="A110" t="s">
        <v>86</v>
      </c>
      <c r="B110">
        <v>-35.540277000000003</v>
      </c>
      <c r="C110">
        <v>138.66416599999999</v>
      </c>
      <c r="D110" s="2">
        <v>45882</v>
      </c>
      <c r="I110">
        <v>56</v>
      </c>
      <c r="J110">
        <v>0</v>
      </c>
      <c r="L110">
        <v>56</v>
      </c>
      <c r="O110">
        <v>444</v>
      </c>
      <c r="P110">
        <v>556</v>
      </c>
      <c r="Q110" t="s">
        <v>129</v>
      </c>
    </row>
    <row r="111" spans="1:17" x14ac:dyDescent="0.3">
      <c r="A111" t="s">
        <v>101</v>
      </c>
      <c r="B111">
        <v>-35.540188999999998</v>
      </c>
      <c r="C111">
        <v>138.689618</v>
      </c>
      <c r="D111" s="2">
        <v>45882</v>
      </c>
      <c r="I111">
        <v>56</v>
      </c>
      <c r="J111">
        <v>0</v>
      </c>
      <c r="O111">
        <v>945</v>
      </c>
      <c r="P111">
        <v>1001</v>
      </c>
      <c r="Q111" t="s">
        <v>129</v>
      </c>
    </row>
    <row r="112" spans="1:17" x14ac:dyDescent="0.3">
      <c r="A112" t="s">
        <v>87</v>
      </c>
      <c r="B112">
        <v>-35.573300000000003</v>
      </c>
      <c r="C112">
        <v>138.64250000000001</v>
      </c>
      <c r="D112" s="2">
        <v>45882</v>
      </c>
      <c r="I112">
        <v>1111</v>
      </c>
      <c r="J112">
        <v>389</v>
      </c>
      <c r="L112">
        <v>56</v>
      </c>
      <c r="O112">
        <v>1333</v>
      </c>
      <c r="P112">
        <v>2500</v>
      </c>
      <c r="Q112" t="s">
        <v>129</v>
      </c>
    </row>
    <row r="113" spans="1:17" x14ac:dyDescent="0.3">
      <c r="A113" t="s">
        <v>88</v>
      </c>
      <c r="B113">
        <v>-35.574167000000003</v>
      </c>
      <c r="C113">
        <v>138.61528000000001</v>
      </c>
      <c r="D113" s="2">
        <v>45882</v>
      </c>
      <c r="I113">
        <v>167</v>
      </c>
      <c r="J113">
        <v>0</v>
      </c>
      <c r="P113">
        <v>167</v>
      </c>
      <c r="Q113" t="s">
        <v>129</v>
      </c>
    </row>
    <row r="114" spans="1:17" x14ac:dyDescent="0.3">
      <c r="A114" t="s">
        <v>89</v>
      </c>
      <c r="B114">
        <v>-35.6048446</v>
      </c>
      <c r="C114">
        <v>138.59278499999999</v>
      </c>
      <c r="D114" s="2">
        <v>45882</v>
      </c>
      <c r="I114">
        <v>56</v>
      </c>
      <c r="J114">
        <v>0</v>
      </c>
      <c r="O114">
        <v>389</v>
      </c>
      <c r="P114">
        <v>445</v>
      </c>
      <c r="Q114" t="s">
        <v>129</v>
      </c>
    </row>
    <row r="115" spans="1:17" x14ac:dyDescent="0.3">
      <c r="A115" t="s">
        <v>90</v>
      </c>
      <c r="B115">
        <v>-35.615555999999998</v>
      </c>
      <c r="C115">
        <v>138.56833</v>
      </c>
      <c r="D115" s="2">
        <v>45882</v>
      </c>
      <c r="I115">
        <v>56</v>
      </c>
      <c r="J115">
        <v>0</v>
      </c>
      <c r="P115">
        <v>56</v>
      </c>
      <c r="Q115" t="s">
        <v>129</v>
      </c>
    </row>
    <row r="116" spans="1:17" x14ac:dyDescent="0.3">
      <c r="A116" t="s">
        <v>44</v>
      </c>
      <c r="B116">
        <v>-34.774355999999997</v>
      </c>
      <c r="C116">
        <v>138.50988899999999</v>
      </c>
      <c r="D116" s="2">
        <v>45883</v>
      </c>
      <c r="G116">
        <v>111</v>
      </c>
      <c r="H116">
        <v>389</v>
      </c>
      <c r="I116">
        <v>278</v>
      </c>
      <c r="J116">
        <v>0</v>
      </c>
      <c r="K116">
        <v>167</v>
      </c>
      <c r="L116">
        <v>11333</v>
      </c>
      <c r="M116">
        <v>1167</v>
      </c>
      <c r="O116">
        <v>333</v>
      </c>
      <c r="P116">
        <v>13778</v>
      </c>
      <c r="Q116" t="s">
        <v>76</v>
      </c>
    </row>
    <row r="117" spans="1:17" x14ac:dyDescent="0.3">
      <c r="A117" t="s">
        <v>45</v>
      </c>
      <c r="B117">
        <v>-34.778519000000003</v>
      </c>
      <c r="C117">
        <v>138.509951</v>
      </c>
      <c r="D117" s="2">
        <v>45883</v>
      </c>
      <c r="G117">
        <v>333</v>
      </c>
      <c r="H117">
        <v>167</v>
      </c>
      <c r="I117">
        <v>1833</v>
      </c>
      <c r="J117">
        <v>1556</v>
      </c>
      <c r="K117">
        <v>167</v>
      </c>
      <c r="L117">
        <v>444</v>
      </c>
      <c r="M117">
        <v>56</v>
      </c>
      <c r="N117">
        <v>111</v>
      </c>
      <c r="P117">
        <v>3111</v>
      </c>
      <c r="Q117" t="s">
        <v>76</v>
      </c>
    </row>
    <row r="118" spans="1:17" x14ac:dyDescent="0.3">
      <c r="A118" t="s">
        <v>46</v>
      </c>
      <c r="B118">
        <v>-34.777065999999998</v>
      </c>
      <c r="C118">
        <v>138.509164</v>
      </c>
      <c r="D118" s="2">
        <v>45883</v>
      </c>
      <c r="I118">
        <v>1333</v>
      </c>
      <c r="J118">
        <v>278</v>
      </c>
      <c r="K118">
        <v>222</v>
      </c>
      <c r="L118">
        <v>1389</v>
      </c>
      <c r="M118">
        <v>167</v>
      </c>
      <c r="N118">
        <v>111</v>
      </c>
      <c r="O118">
        <v>500</v>
      </c>
      <c r="P118">
        <v>3722</v>
      </c>
      <c r="Q118" t="s">
        <v>76</v>
      </c>
    </row>
    <row r="119" spans="1:17" x14ac:dyDescent="0.3">
      <c r="A119" t="s">
        <v>47</v>
      </c>
      <c r="B119">
        <v>-34.778677999999999</v>
      </c>
      <c r="C119">
        <v>138.510752</v>
      </c>
      <c r="D119" s="2">
        <v>45883</v>
      </c>
      <c r="H119">
        <v>111</v>
      </c>
      <c r="I119">
        <v>3333</v>
      </c>
      <c r="J119">
        <v>2000</v>
      </c>
      <c r="L119">
        <v>14333</v>
      </c>
      <c r="M119">
        <v>889</v>
      </c>
      <c r="O119">
        <v>111</v>
      </c>
      <c r="P119">
        <v>18778</v>
      </c>
      <c r="Q119" t="s">
        <v>76</v>
      </c>
    </row>
    <row r="120" spans="1:17" x14ac:dyDescent="0.3">
      <c r="A120" t="s">
        <v>48</v>
      </c>
      <c r="B120">
        <v>-34.778416</v>
      </c>
      <c r="C120">
        <v>138.51265699999999</v>
      </c>
      <c r="D120" s="2">
        <v>45883</v>
      </c>
      <c r="H120">
        <v>28</v>
      </c>
      <c r="I120">
        <v>139</v>
      </c>
      <c r="J120">
        <v>83</v>
      </c>
      <c r="K120">
        <v>139</v>
      </c>
      <c r="L120">
        <v>917</v>
      </c>
      <c r="M120">
        <v>28</v>
      </c>
      <c r="N120">
        <v>28</v>
      </c>
      <c r="P120">
        <v>1278</v>
      </c>
      <c r="Q120" t="s">
        <v>76</v>
      </c>
    </row>
    <row r="121" spans="1:17" x14ac:dyDescent="0.3">
      <c r="A121" t="s">
        <v>49</v>
      </c>
      <c r="B121">
        <v>-34.778754999999997</v>
      </c>
      <c r="C121">
        <v>138.513384</v>
      </c>
      <c r="D121" s="2">
        <v>45883</v>
      </c>
      <c r="I121">
        <v>1778</v>
      </c>
      <c r="J121">
        <v>1389</v>
      </c>
      <c r="K121">
        <v>111</v>
      </c>
      <c r="L121">
        <v>1667</v>
      </c>
      <c r="M121">
        <v>167</v>
      </c>
      <c r="O121">
        <v>556</v>
      </c>
      <c r="P121">
        <v>4278</v>
      </c>
      <c r="Q121" t="s">
        <v>76</v>
      </c>
    </row>
    <row r="122" spans="1:17" x14ac:dyDescent="0.3">
      <c r="A122" t="s">
        <v>5</v>
      </c>
      <c r="B122">
        <v>-34.423819999999999</v>
      </c>
      <c r="C122">
        <v>137.92411999999999</v>
      </c>
      <c r="D122" s="2">
        <v>45885</v>
      </c>
      <c r="G122">
        <v>74</v>
      </c>
      <c r="H122">
        <v>111</v>
      </c>
      <c r="I122">
        <v>185</v>
      </c>
      <c r="J122">
        <v>56</v>
      </c>
      <c r="K122">
        <v>185</v>
      </c>
      <c r="L122">
        <v>444</v>
      </c>
      <c r="M122">
        <v>241</v>
      </c>
      <c r="N122">
        <v>37</v>
      </c>
      <c r="O122">
        <v>19</v>
      </c>
      <c r="P122">
        <v>1296</v>
      </c>
      <c r="Q122" t="s">
        <v>76</v>
      </c>
    </row>
    <row r="123" spans="1:17" x14ac:dyDescent="0.3">
      <c r="A123" t="s">
        <v>37</v>
      </c>
      <c r="B123">
        <v>-34.289369999999998</v>
      </c>
      <c r="C123">
        <v>138.01242999999999</v>
      </c>
      <c r="D123" s="2">
        <v>45885</v>
      </c>
      <c r="G123">
        <v>176</v>
      </c>
      <c r="H123">
        <v>59</v>
      </c>
      <c r="I123">
        <v>824</v>
      </c>
      <c r="J123">
        <v>520</v>
      </c>
      <c r="K123">
        <v>235</v>
      </c>
      <c r="L123">
        <v>882</v>
      </c>
      <c r="M123">
        <v>59</v>
      </c>
      <c r="P123">
        <v>2235</v>
      </c>
      <c r="Q123" t="s">
        <v>76</v>
      </c>
    </row>
    <row r="124" spans="1:17" x14ac:dyDescent="0.3">
      <c r="A124" t="s">
        <v>77</v>
      </c>
      <c r="B124">
        <v>-35.01558</v>
      </c>
      <c r="C124">
        <v>138.51375999999999</v>
      </c>
      <c r="D124" s="2">
        <v>45885</v>
      </c>
      <c r="I124">
        <v>14</v>
      </c>
      <c r="J124">
        <v>12</v>
      </c>
      <c r="L124">
        <v>7</v>
      </c>
      <c r="O124">
        <v>1</v>
      </c>
      <c r="P124">
        <v>22</v>
      </c>
      <c r="Q124" t="s">
        <v>78</v>
      </c>
    </row>
    <row r="125" spans="1:17" x14ac:dyDescent="0.3">
      <c r="A125" t="s">
        <v>80</v>
      </c>
      <c r="B125">
        <v>-34.90352</v>
      </c>
      <c r="C125">
        <v>138.48815999999999</v>
      </c>
      <c r="D125" s="2">
        <v>45885</v>
      </c>
      <c r="I125">
        <v>22</v>
      </c>
      <c r="J125">
        <v>14</v>
      </c>
      <c r="L125">
        <v>4</v>
      </c>
      <c r="O125">
        <v>2</v>
      </c>
      <c r="P125">
        <v>28</v>
      </c>
      <c r="Q125" t="s">
        <v>78</v>
      </c>
    </row>
    <row r="126" spans="1:17" x14ac:dyDescent="0.3">
      <c r="A126" t="s">
        <v>130</v>
      </c>
      <c r="B126">
        <v>-35.078539999999997</v>
      </c>
      <c r="C126">
        <v>138.49587</v>
      </c>
      <c r="D126" s="2">
        <v>45885</v>
      </c>
      <c r="E126" s="20">
        <v>0.6333333333333333</v>
      </c>
      <c r="I126">
        <v>34</v>
      </c>
      <c r="J126">
        <v>31</v>
      </c>
      <c r="L126">
        <v>6</v>
      </c>
      <c r="O126">
        <v>6</v>
      </c>
      <c r="P126">
        <v>46</v>
      </c>
      <c r="Q126" t="s">
        <v>78</v>
      </c>
    </row>
    <row r="127" spans="1:17" x14ac:dyDescent="0.3">
      <c r="A127" t="s">
        <v>117</v>
      </c>
      <c r="B127">
        <v>-33.040787000000002</v>
      </c>
      <c r="C127">
        <v>137.587109</v>
      </c>
      <c r="D127" s="2">
        <v>45885</v>
      </c>
      <c r="J127">
        <v>0</v>
      </c>
      <c r="L127">
        <v>333</v>
      </c>
      <c r="O127">
        <v>556</v>
      </c>
      <c r="P127">
        <v>889</v>
      </c>
      <c r="Q127" t="s">
        <v>129</v>
      </c>
    </row>
    <row r="128" spans="1:17" x14ac:dyDescent="0.3">
      <c r="A128" t="s">
        <v>118</v>
      </c>
      <c r="B128">
        <v>-32.991777999999996</v>
      </c>
      <c r="C128">
        <v>137.77837500000001</v>
      </c>
      <c r="D128" s="2">
        <v>45885</v>
      </c>
      <c r="J128">
        <v>0</v>
      </c>
      <c r="O128">
        <v>389</v>
      </c>
      <c r="P128">
        <v>389</v>
      </c>
      <c r="Q128" t="s">
        <v>129</v>
      </c>
    </row>
    <row r="129" spans="1:17" x14ac:dyDescent="0.3">
      <c r="A129" t="s">
        <v>81</v>
      </c>
      <c r="B129">
        <v>-35.514235800000002</v>
      </c>
      <c r="C129">
        <v>138.72405380000001</v>
      </c>
      <c r="D129" s="2">
        <v>45886</v>
      </c>
      <c r="I129">
        <v>6</v>
      </c>
      <c r="J129">
        <v>3</v>
      </c>
      <c r="L129">
        <v>15</v>
      </c>
      <c r="O129">
        <v>0</v>
      </c>
      <c r="P129">
        <v>22</v>
      </c>
      <c r="Q129" t="s">
        <v>78</v>
      </c>
    </row>
    <row r="130" spans="1:17" x14ac:dyDescent="0.3">
      <c r="A130" t="s">
        <v>161</v>
      </c>
      <c r="B130">
        <v>-33.182508599999998</v>
      </c>
      <c r="C130">
        <v>138.02047999999999</v>
      </c>
      <c r="D130" s="2">
        <v>45886</v>
      </c>
      <c r="J130">
        <v>0</v>
      </c>
      <c r="L130">
        <v>56</v>
      </c>
      <c r="O130">
        <v>1722</v>
      </c>
      <c r="P130">
        <v>1778</v>
      </c>
      <c r="Q130" t="s">
        <v>129</v>
      </c>
    </row>
    <row r="131" spans="1:17" x14ac:dyDescent="0.3">
      <c r="A131" t="s">
        <v>79</v>
      </c>
      <c r="B131">
        <v>-34.804169999999999</v>
      </c>
      <c r="C131">
        <v>138.53970000000001</v>
      </c>
      <c r="D131" s="2">
        <v>45889</v>
      </c>
      <c r="I131">
        <v>552</v>
      </c>
      <c r="J131">
        <v>500</v>
      </c>
      <c r="L131">
        <v>21</v>
      </c>
      <c r="O131">
        <v>7</v>
      </c>
      <c r="P131">
        <v>580</v>
      </c>
      <c r="Q131" t="s">
        <v>78</v>
      </c>
    </row>
    <row r="132" spans="1:17" x14ac:dyDescent="0.3">
      <c r="A132" t="s">
        <v>157</v>
      </c>
      <c r="B132">
        <v>-35.576326000000002</v>
      </c>
      <c r="C132">
        <v>138.60467</v>
      </c>
      <c r="D132" s="2">
        <v>45889</v>
      </c>
      <c r="J132">
        <v>0</v>
      </c>
      <c r="L132">
        <v>111</v>
      </c>
      <c r="O132">
        <v>222</v>
      </c>
      <c r="P132">
        <v>333</v>
      </c>
      <c r="Q132" t="s">
        <v>129</v>
      </c>
    </row>
    <row r="133" spans="1:17" x14ac:dyDescent="0.3">
      <c r="A133" t="s">
        <v>158</v>
      </c>
      <c r="B133">
        <v>-35.588501999999998</v>
      </c>
      <c r="C133">
        <v>138.60444200000001</v>
      </c>
      <c r="D133" s="2">
        <v>45889</v>
      </c>
      <c r="H133">
        <v>111</v>
      </c>
      <c r="I133">
        <v>56</v>
      </c>
      <c r="J133">
        <v>0</v>
      </c>
      <c r="O133">
        <v>611</v>
      </c>
      <c r="P133">
        <v>778</v>
      </c>
      <c r="Q133" t="s">
        <v>129</v>
      </c>
    </row>
    <row r="134" spans="1:17" x14ac:dyDescent="0.3">
      <c r="A134" t="s">
        <v>125</v>
      </c>
      <c r="B134">
        <v>-35.160076599999996</v>
      </c>
      <c r="C134">
        <v>138.47175200000001</v>
      </c>
      <c r="D134" s="2">
        <v>45890</v>
      </c>
      <c r="H134">
        <v>778</v>
      </c>
      <c r="I134">
        <v>833</v>
      </c>
      <c r="J134">
        <v>0</v>
      </c>
      <c r="O134">
        <v>2611</v>
      </c>
      <c r="P134">
        <v>4222</v>
      </c>
      <c r="Q134" t="s">
        <v>129</v>
      </c>
    </row>
    <row r="135" spans="1:17" x14ac:dyDescent="0.3">
      <c r="A135" t="s">
        <v>126</v>
      </c>
      <c r="B135">
        <v>-35.151825600000002</v>
      </c>
      <c r="C135">
        <v>138.47262749999999</v>
      </c>
      <c r="D135" s="2">
        <v>45890</v>
      </c>
      <c r="G135">
        <v>1167</v>
      </c>
      <c r="H135">
        <v>1944</v>
      </c>
      <c r="I135">
        <v>4111</v>
      </c>
      <c r="J135">
        <v>0</v>
      </c>
      <c r="K135">
        <v>167</v>
      </c>
      <c r="L135">
        <v>222</v>
      </c>
      <c r="O135">
        <v>4833</v>
      </c>
      <c r="P135">
        <v>12444</v>
      </c>
      <c r="Q135" t="s">
        <v>129</v>
      </c>
    </row>
    <row r="136" spans="1:17" x14ac:dyDescent="0.3">
      <c r="A136" t="s">
        <v>127</v>
      </c>
      <c r="B136">
        <v>-35.151313999999999</v>
      </c>
      <c r="C136">
        <v>138.47341800000001</v>
      </c>
      <c r="D136" s="2">
        <v>45890</v>
      </c>
      <c r="G136">
        <v>56</v>
      </c>
      <c r="H136">
        <v>111</v>
      </c>
      <c r="I136">
        <v>333</v>
      </c>
      <c r="J136">
        <v>0</v>
      </c>
      <c r="L136">
        <v>889</v>
      </c>
      <c r="O136">
        <v>944</v>
      </c>
      <c r="P136">
        <v>2333</v>
      </c>
      <c r="Q136" t="s">
        <v>129</v>
      </c>
    </row>
    <row r="137" spans="1:17" x14ac:dyDescent="0.3">
      <c r="A137" t="s">
        <v>128</v>
      </c>
      <c r="B137">
        <v>-35.154650240000002</v>
      </c>
      <c r="C137">
        <v>138.47929239999999</v>
      </c>
      <c r="D137" s="2">
        <v>45890</v>
      </c>
      <c r="G137">
        <v>278</v>
      </c>
      <c r="H137">
        <v>389</v>
      </c>
      <c r="I137">
        <v>500</v>
      </c>
      <c r="J137">
        <v>0</v>
      </c>
      <c r="L137">
        <v>444</v>
      </c>
      <c r="O137">
        <v>3333</v>
      </c>
      <c r="P137">
        <v>4944</v>
      </c>
      <c r="Q137" t="s">
        <v>129</v>
      </c>
    </row>
    <row r="138" spans="1:17" x14ac:dyDescent="0.3">
      <c r="A138" t="s">
        <v>132</v>
      </c>
      <c r="B138">
        <v>-35.152626359999999</v>
      </c>
      <c r="C138">
        <v>138.48516240000001</v>
      </c>
      <c r="D138" s="2">
        <v>45890</v>
      </c>
      <c r="G138">
        <v>6444</v>
      </c>
      <c r="H138">
        <v>722</v>
      </c>
      <c r="I138">
        <v>2556</v>
      </c>
      <c r="J138">
        <v>0</v>
      </c>
      <c r="L138">
        <v>389</v>
      </c>
      <c r="N138">
        <v>14000</v>
      </c>
      <c r="O138">
        <v>3445</v>
      </c>
      <c r="P138">
        <v>27556</v>
      </c>
      <c r="Q138" t="s">
        <v>129</v>
      </c>
    </row>
    <row r="139" spans="1:17" x14ac:dyDescent="0.3">
      <c r="A139" t="s">
        <v>133</v>
      </c>
      <c r="B139">
        <v>-35.152888900000001</v>
      </c>
      <c r="C139">
        <v>138.48833329999999</v>
      </c>
      <c r="D139" s="2">
        <v>45890</v>
      </c>
      <c r="G139">
        <v>7167</v>
      </c>
      <c r="H139">
        <v>500</v>
      </c>
      <c r="I139">
        <v>1000</v>
      </c>
      <c r="J139">
        <v>0</v>
      </c>
      <c r="L139">
        <v>56</v>
      </c>
      <c r="N139">
        <v>6667</v>
      </c>
      <c r="O139">
        <v>1778</v>
      </c>
      <c r="P139">
        <v>17168</v>
      </c>
      <c r="Q139" t="s">
        <v>129</v>
      </c>
    </row>
    <row r="140" spans="1:17" x14ac:dyDescent="0.3">
      <c r="A140" t="s">
        <v>134</v>
      </c>
      <c r="B140">
        <v>-35.157411799999998</v>
      </c>
      <c r="C140">
        <v>138.49856840000001</v>
      </c>
      <c r="D140" s="2">
        <v>45890</v>
      </c>
      <c r="G140">
        <v>667</v>
      </c>
      <c r="H140">
        <v>1111</v>
      </c>
      <c r="J140">
        <v>0</v>
      </c>
      <c r="L140">
        <v>111</v>
      </c>
      <c r="N140">
        <v>13333</v>
      </c>
      <c r="O140">
        <v>889</v>
      </c>
      <c r="P140">
        <v>16111</v>
      </c>
      <c r="Q140" t="s">
        <v>129</v>
      </c>
    </row>
    <row r="141" spans="1:17" x14ac:dyDescent="0.3">
      <c r="A141" t="s">
        <v>135</v>
      </c>
      <c r="B141">
        <v>-35.172090599999997</v>
      </c>
      <c r="C141">
        <v>138.495555</v>
      </c>
      <c r="D141" s="2">
        <v>45890</v>
      </c>
      <c r="G141">
        <v>1111</v>
      </c>
      <c r="I141">
        <v>56</v>
      </c>
      <c r="J141">
        <v>0</v>
      </c>
      <c r="L141">
        <v>278</v>
      </c>
      <c r="N141">
        <v>1444</v>
      </c>
      <c r="O141">
        <v>1389</v>
      </c>
      <c r="P141">
        <v>4278</v>
      </c>
      <c r="Q141" t="s">
        <v>129</v>
      </c>
    </row>
    <row r="142" spans="1:17" x14ac:dyDescent="0.3">
      <c r="A142" t="s">
        <v>136</v>
      </c>
      <c r="B142">
        <v>-35.174399000000001</v>
      </c>
      <c r="C142">
        <v>138.4971697</v>
      </c>
      <c r="D142" s="2">
        <v>45890</v>
      </c>
      <c r="I142">
        <v>56</v>
      </c>
      <c r="J142">
        <v>0</v>
      </c>
      <c r="L142">
        <v>278</v>
      </c>
      <c r="N142">
        <v>1222</v>
      </c>
      <c r="O142">
        <v>612</v>
      </c>
      <c r="P142">
        <v>2168</v>
      </c>
      <c r="Q142" t="s">
        <v>129</v>
      </c>
    </row>
    <row r="143" spans="1:17" x14ac:dyDescent="0.3">
      <c r="A143" t="s">
        <v>137</v>
      </c>
      <c r="B143">
        <v>-35.180773000000002</v>
      </c>
      <c r="C143">
        <v>138.50123840000001</v>
      </c>
      <c r="D143" s="2">
        <v>45890</v>
      </c>
      <c r="H143">
        <v>278</v>
      </c>
      <c r="J143">
        <v>0</v>
      </c>
      <c r="L143">
        <v>500</v>
      </c>
      <c r="N143">
        <v>1056</v>
      </c>
      <c r="O143">
        <v>1167</v>
      </c>
      <c r="P143">
        <v>3001</v>
      </c>
      <c r="Q143" t="s">
        <v>129</v>
      </c>
    </row>
    <row r="144" spans="1:17" x14ac:dyDescent="0.3">
      <c r="A144" t="s">
        <v>138</v>
      </c>
      <c r="B144">
        <v>-35.181056900000002</v>
      </c>
      <c r="C144">
        <v>138.4982273</v>
      </c>
      <c r="D144" s="2">
        <v>45890</v>
      </c>
      <c r="G144">
        <v>56</v>
      </c>
      <c r="H144">
        <v>167</v>
      </c>
      <c r="J144">
        <v>0</v>
      </c>
      <c r="L144">
        <v>333</v>
      </c>
      <c r="N144">
        <v>1778</v>
      </c>
      <c r="O144">
        <v>611</v>
      </c>
      <c r="P144">
        <v>2945</v>
      </c>
      <c r="Q144" t="s">
        <v>129</v>
      </c>
    </row>
    <row r="145" spans="1:17" x14ac:dyDescent="0.3">
      <c r="A145" t="s">
        <v>139</v>
      </c>
      <c r="B145">
        <v>-35.180520399999999</v>
      </c>
      <c r="C145">
        <v>138.50434089999999</v>
      </c>
      <c r="D145" s="2">
        <v>45890</v>
      </c>
      <c r="H145">
        <v>222</v>
      </c>
      <c r="J145">
        <v>0</v>
      </c>
      <c r="L145">
        <v>111</v>
      </c>
      <c r="N145">
        <v>556</v>
      </c>
      <c r="O145">
        <v>389</v>
      </c>
      <c r="P145">
        <v>1278</v>
      </c>
      <c r="Q145" t="s">
        <v>129</v>
      </c>
    </row>
    <row r="146" spans="1:17" x14ac:dyDescent="0.3">
      <c r="A146" t="s">
        <v>37</v>
      </c>
      <c r="B146">
        <v>-34.289369999999998</v>
      </c>
      <c r="C146">
        <v>138.01242999999999</v>
      </c>
      <c r="D146" s="2">
        <v>45891</v>
      </c>
      <c r="G146">
        <v>56</v>
      </c>
      <c r="I146">
        <v>8111</v>
      </c>
      <c r="J146">
        <v>7778</v>
      </c>
      <c r="K146">
        <v>667</v>
      </c>
      <c r="L146">
        <v>1611</v>
      </c>
      <c r="N146">
        <v>167</v>
      </c>
      <c r="O146">
        <v>222</v>
      </c>
      <c r="P146">
        <v>10833</v>
      </c>
      <c r="Q146" t="s">
        <v>76</v>
      </c>
    </row>
    <row r="147" spans="1:17" x14ac:dyDescent="0.3">
      <c r="A147" t="s">
        <v>119</v>
      </c>
      <c r="B147">
        <v>-35.420470199999997</v>
      </c>
      <c r="C147">
        <v>138.32294999999999</v>
      </c>
      <c r="D147" s="2">
        <v>45891</v>
      </c>
      <c r="F147">
        <v>56</v>
      </c>
      <c r="G147">
        <v>278</v>
      </c>
      <c r="I147">
        <v>111</v>
      </c>
      <c r="J147">
        <v>0</v>
      </c>
      <c r="L147">
        <v>444</v>
      </c>
      <c r="O147">
        <v>1334</v>
      </c>
      <c r="P147">
        <v>2223</v>
      </c>
      <c r="Q147" t="s">
        <v>129</v>
      </c>
    </row>
    <row r="148" spans="1:17" x14ac:dyDescent="0.3">
      <c r="A148" t="s">
        <v>120</v>
      </c>
      <c r="B148">
        <v>-35.444941989999997</v>
      </c>
      <c r="C148">
        <v>138.30768499999999</v>
      </c>
      <c r="D148" s="2">
        <v>45891</v>
      </c>
      <c r="G148">
        <v>278</v>
      </c>
      <c r="I148">
        <v>56</v>
      </c>
      <c r="J148">
        <v>0</v>
      </c>
      <c r="L148">
        <v>389</v>
      </c>
      <c r="O148">
        <v>1556</v>
      </c>
      <c r="P148">
        <v>2279</v>
      </c>
      <c r="Q148" t="s">
        <v>129</v>
      </c>
    </row>
    <row r="149" spans="1:17" x14ac:dyDescent="0.3">
      <c r="A149" t="s">
        <v>79</v>
      </c>
      <c r="B149">
        <v>-34.804169999999999</v>
      </c>
      <c r="C149">
        <v>138.53970000000001</v>
      </c>
      <c r="D149" s="2">
        <v>45892</v>
      </c>
      <c r="E149" s="20">
        <v>0.55625000000000002</v>
      </c>
      <c r="I149">
        <v>636</v>
      </c>
      <c r="J149">
        <v>609</v>
      </c>
      <c r="L149">
        <v>6</v>
      </c>
      <c r="O149">
        <v>13</v>
      </c>
      <c r="P149">
        <v>655</v>
      </c>
      <c r="Q149" t="s">
        <v>78</v>
      </c>
    </row>
    <row r="150" spans="1:17" x14ac:dyDescent="0.3">
      <c r="A150" t="s">
        <v>235</v>
      </c>
      <c r="B150">
        <v>-34.837600000000002</v>
      </c>
      <c r="C150">
        <v>138.47788</v>
      </c>
      <c r="D150" s="2">
        <v>45892</v>
      </c>
      <c r="E150" s="20">
        <v>0.57708333333333328</v>
      </c>
      <c r="I150">
        <v>22</v>
      </c>
      <c r="J150">
        <v>19</v>
      </c>
      <c r="L150">
        <v>8</v>
      </c>
      <c r="O150">
        <v>4</v>
      </c>
      <c r="P150">
        <v>35</v>
      </c>
      <c r="Q150" t="s">
        <v>78</v>
      </c>
    </row>
    <row r="151" spans="1:17" x14ac:dyDescent="0.3">
      <c r="A151" t="s">
        <v>85</v>
      </c>
      <c r="B151">
        <v>-34.873939999999997</v>
      </c>
      <c r="C151">
        <v>138.48820000000001</v>
      </c>
      <c r="D151" s="2">
        <v>45892</v>
      </c>
      <c r="I151">
        <v>633</v>
      </c>
      <c r="J151">
        <v>610</v>
      </c>
      <c r="L151">
        <v>2</v>
      </c>
      <c r="O151">
        <v>18</v>
      </c>
      <c r="P151">
        <v>653</v>
      </c>
      <c r="Q151" t="s">
        <v>78</v>
      </c>
    </row>
    <row r="152" spans="1:17" x14ac:dyDescent="0.3">
      <c r="A152" t="s">
        <v>18</v>
      </c>
      <c r="B152">
        <v>-34.744259999999997</v>
      </c>
      <c r="C152">
        <v>138.53462999999999</v>
      </c>
      <c r="D152" s="2">
        <v>45893</v>
      </c>
      <c r="G152">
        <v>444</v>
      </c>
      <c r="I152">
        <v>3778</v>
      </c>
      <c r="J152">
        <v>2111</v>
      </c>
      <c r="K152">
        <v>667</v>
      </c>
      <c r="L152">
        <v>3000</v>
      </c>
      <c r="M152">
        <v>333</v>
      </c>
      <c r="O152">
        <v>111</v>
      </c>
      <c r="P152">
        <v>8333</v>
      </c>
      <c r="Q152" t="s">
        <v>76</v>
      </c>
    </row>
    <row r="153" spans="1:17" x14ac:dyDescent="0.3">
      <c r="A153" t="s">
        <v>50</v>
      </c>
      <c r="B153">
        <v>-34.810209</v>
      </c>
      <c r="C153">
        <v>138.54621</v>
      </c>
      <c r="D153" s="2">
        <v>45893</v>
      </c>
      <c r="I153">
        <v>2556</v>
      </c>
      <c r="J153">
        <v>1889</v>
      </c>
      <c r="K153">
        <v>7667</v>
      </c>
      <c r="L153">
        <v>1222</v>
      </c>
      <c r="M153">
        <v>556</v>
      </c>
      <c r="O153">
        <v>222</v>
      </c>
      <c r="P153">
        <v>12222</v>
      </c>
      <c r="Q153" t="s">
        <v>76</v>
      </c>
    </row>
    <row r="154" spans="1:17" x14ac:dyDescent="0.3">
      <c r="A154" t="s">
        <v>27</v>
      </c>
      <c r="B154">
        <v>-34.759534000000002</v>
      </c>
      <c r="C154">
        <v>138.51026200000001</v>
      </c>
      <c r="D154" s="2">
        <v>45893</v>
      </c>
      <c r="G154">
        <v>56</v>
      </c>
      <c r="I154">
        <v>5333</v>
      </c>
      <c r="J154">
        <v>4667</v>
      </c>
      <c r="K154">
        <v>278</v>
      </c>
      <c r="L154">
        <v>111</v>
      </c>
      <c r="P154">
        <v>5778</v>
      </c>
      <c r="Q154" t="s">
        <v>76</v>
      </c>
    </row>
    <row r="155" spans="1:17" x14ac:dyDescent="0.3">
      <c r="A155" t="s">
        <v>37</v>
      </c>
      <c r="B155">
        <v>-34.289369999999998</v>
      </c>
      <c r="C155">
        <v>138.01242999999999</v>
      </c>
      <c r="D155" s="2">
        <v>45898</v>
      </c>
      <c r="G155">
        <v>833</v>
      </c>
      <c r="H155">
        <v>56</v>
      </c>
      <c r="I155">
        <v>5111</v>
      </c>
      <c r="J155">
        <v>4778</v>
      </c>
      <c r="K155">
        <v>333</v>
      </c>
      <c r="L155">
        <v>556</v>
      </c>
      <c r="O155">
        <v>556</v>
      </c>
      <c r="P155">
        <v>7444</v>
      </c>
      <c r="Q155" t="s">
        <v>76</v>
      </c>
    </row>
    <row r="156" spans="1:17" x14ac:dyDescent="0.3">
      <c r="A156" t="s">
        <v>79</v>
      </c>
      <c r="B156">
        <v>-34.804169999999999</v>
      </c>
      <c r="C156">
        <v>138.53970000000001</v>
      </c>
      <c r="D156" s="2">
        <v>45898</v>
      </c>
      <c r="I156">
        <v>156</v>
      </c>
      <c r="J156">
        <v>140</v>
      </c>
      <c r="L156">
        <v>8</v>
      </c>
      <c r="O156">
        <v>4</v>
      </c>
      <c r="P156">
        <v>168</v>
      </c>
      <c r="Q156" t="s">
        <v>78</v>
      </c>
    </row>
    <row r="157" spans="1:17" x14ac:dyDescent="0.3">
      <c r="A157" t="s">
        <v>131</v>
      </c>
      <c r="B157">
        <v>-35.078539999999997</v>
      </c>
      <c r="C157">
        <v>138.49587</v>
      </c>
      <c r="D157" s="2">
        <v>45898</v>
      </c>
      <c r="I157">
        <v>1518</v>
      </c>
      <c r="J157">
        <v>1494</v>
      </c>
      <c r="L157">
        <v>60</v>
      </c>
      <c r="O157">
        <v>6</v>
      </c>
      <c r="P157">
        <v>1584</v>
      </c>
      <c r="Q157" t="s">
        <v>78</v>
      </c>
    </row>
    <row r="158" spans="1:17" x14ac:dyDescent="0.3">
      <c r="A158" t="s">
        <v>235</v>
      </c>
      <c r="B158">
        <v>-34.837600000000002</v>
      </c>
      <c r="C158">
        <v>138.47788</v>
      </c>
      <c r="D158" s="2">
        <v>45898</v>
      </c>
      <c r="E158" s="20">
        <v>0.47847222222222224</v>
      </c>
      <c r="I158">
        <v>239</v>
      </c>
      <c r="J158">
        <v>226</v>
      </c>
      <c r="L158">
        <v>23</v>
      </c>
      <c r="O158">
        <v>7</v>
      </c>
      <c r="P158">
        <v>269</v>
      </c>
      <c r="Q158" t="s">
        <v>78</v>
      </c>
    </row>
    <row r="159" spans="1:17" x14ac:dyDescent="0.3">
      <c r="A159" t="s">
        <v>85</v>
      </c>
      <c r="B159">
        <v>-34.873939999999997</v>
      </c>
      <c r="C159">
        <v>138.48820000000001</v>
      </c>
      <c r="D159" s="2">
        <v>45898</v>
      </c>
      <c r="I159">
        <v>578</v>
      </c>
      <c r="J159">
        <v>549</v>
      </c>
      <c r="L159">
        <v>9</v>
      </c>
      <c r="O159">
        <v>13</v>
      </c>
      <c r="P159">
        <v>599</v>
      </c>
      <c r="Q159" t="s">
        <v>78</v>
      </c>
    </row>
    <row r="160" spans="1:17" x14ac:dyDescent="0.3">
      <c r="A160" t="s">
        <v>51</v>
      </c>
      <c r="B160">
        <v>-37.446449999999999</v>
      </c>
      <c r="C160">
        <v>139.99202</v>
      </c>
      <c r="D160" s="2">
        <v>45902</v>
      </c>
      <c r="I160">
        <v>2889</v>
      </c>
      <c r="J160">
        <v>0</v>
      </c>
      <c r="L160">
        <v>94000</v>
      </c>
      <c r="M160">
        <v>667</v>
      </c>
      <c r="N160">
        <v>1240000</v>
      </c>
      <c r="O160">
        <v>111</v>
      </c>
      <c r="P160">
        <v>1337667</v>
      </c>
      <c r="Q160" t="s">
        <v>76</v>
      </c>
    </row>
    <row r="161" spans="1:17" x14ac:dyDescent="0.3">
      <c r="A161" t="s">
        <v>121</v>
      </c>
      <c r="B161">
        <v>-35.570839499999998</v>
      </c>
      <c r="C161">
        <v>138.60133999999999</v>
      </c>
      <c r="D161" s="2">
        <v>45902</v>
      </c>
      <c r="J161">
        <v>0</v>
      </c>
      <c r="L161">
        <v>278</v>
      </c>
      <c r="N161">
        <v>556</v>
      </c>
      <c r="O161">
        <v>500</v>
      </c>
      <c r="P161">
        <v>1334</v>
      </c>
      <c r="Q161" t="s">
        <v>129</v>
      </c>
    </row>
    <row r="162" spans="1:17" x14ac:dyDescent="0.3">
      <c r="A162" t="s">
        <v>18</v>
      </c>
      <c r="B162">
        <v>-34.744259999999997</v>
      </c>
      <c r="C162">
        <v>138.53462999999999</v>
      </c>
      <c r="D162" s="2">
        <v>45903</v>
      </c>
      <c r="G162">
        <v>1722</v>
      </c>
      <c r="H162">
        <v>167</v>
      </c>
      <c r="I162">
        <v>26833</v>
      </c>
      <c r="J162">
        <v>24500</v>
      </c>
      <c r="K162">
        <v>167</v>
      </c>
      <c r="L162">
        <v>556</v>
      </c>
      <c r="O162">
        <v>333</v>
      </c>
      <c r="P162">
        <v>29778</v>
      </c>
      <c r="Q162" t="s">
        <v>76</v>
      </c>
    </row>
    <row r="163" spans="1:17" x14ac:dyDescent="0.3">
      <c r="A163" t="s">
        <v>122</v>
      </c>
      <c r="B163">
        <v>-34.816378</v>
      </c>
      <c r="C163">
        <v>138.5108414</v>
      </c>
      <c r="D163" s="2">
        <v>45903</v>
      </c>
      <c r="I163">
        <v>50667</v>
      </c>
      <c r="J163">
        <v>27667</v>
      </c>
      <c r="O163">
        <v>500</v>
      </c>
      <c r="P163">
        <v>51167</v>
      </c>
      <c r="Q163" t="s">
        <v>129</v>
      </c>
    </row>
    <row r="164" spans="1:17" x14ac:dyDescent="0.3">
      <c r="A164" t="s">
        <v>79</v>
      </c>
      <c r="B164">
        <v>-34.804169999999999</v>
      </c>
      <c r="C164">
        <v>138.53970000000001</v>
      </c>
      <c r="D164" s="2">
        <v>45904</v>
      </c>
      <c r="I164">
        <v>1278</v>
      </c>
      <c r="J164">
        <v>965</v>
      </c>
      <c r="L164">
        <v>20</v>
      </c>
      <c r="O164">
        <v>23</v>
      </c>
      <c r="P164">
        <v>1320</v>
      </c>
      <c r="Q164" t="s">
        <v>78</v>
      </c>
    </row>
    <row r="165" spans="1:17" x14ac:dyDescent="0.3">
      <c r="A165" t="s">
        <v>235</v>
      </c>
      <c r="B165">
        <v>-34.837600000000002</v>
      </c>
      <c r="C165">
        <v>138.47788</v>
      </c>
      <c r="D165" s="2">
        <v>45904</v>
      </c>
      <c r="I165">
        <v>163</v>
      </c>
      <c r="J165">
        <v>153</v>
      </c>
      <c r="L165">
        <v>8</v>
      </c>
      <c r="O165">
        <v>0</v>
      </c>
      <c r="P165">
        <v>172</v>
      </c>
      <c r="Q165" t="s">
        <v>78</v>
      </c>
    </row>
    <row r="166" spans="1:17" x14ac:dyDescent="0.3">
      <c r="A166" t="s">
        <v>85</v>
      </c>
      <c r="B166">
        <v>-34.873939999999997</v>
      </c>
      <c r="C166">
        <v>138.48820000000001</v>
      </c>
      <c r="D166" s="2">
        <v>45904</v>
      </c>
      <c r="I166">
        <v>117</v>
      </c>
      <c r="J166">
        <v>108</v>
      </c>
      <c r="L166">
        <v>7</v>
      </c>
      <c r="O166">
        <v>7</v>
      </c>
      <c r="P166">
        <v>130</v>
      </c>
      <c r="Q166" t="s">
        <v>78</v>
      </c>
    </row>
    <row r="167" spans="1:17" x14ac:dyDescent="0.3">
      <c r="A167" t="s">
        <v>52</v>
      </c>
      <c r="B167">
        <v>-34.93365</v>
      </c>
      <c r="C167">
        <v>137.35296</v>
      </c>
      <c r="D167" s="2">
        <v>45905</v>
      </c>
      <c r="F167">
        <v>111</v>
      </c>
      <c r="G167">
        <v>167</v>
      </c>
      <c r="H167">
        <v>28</v>
      </c>
      <c r="I167">
        <v>56</v>
      </c>
      <c r="J167">
        <v>0</v>
      </c>
      <c r="K167">
        <v>56</v>
      </c>
      <c r="L167">
        <v>19</v>
      </c>
      <c r="N167">
        <v>28</v>
      </c>
      <c r="P167">
        <v>463</v>
      </c>
      <c r="Q167" t="s">
        <v>76</v>
      </c>
    </row>
    <row r="168" spans="1:17" x14ac:dyDescent="0.3">
      <c r="A168" t="s">
        <v>53</v>
      </c>
      <c r="B168">
        <v>-34.933750000000003</v>
      </c>
      <c r="C168">
        <v>137.35296</v>
      </c>
      <c r="D168" s="2">
        <v>45905</v>
      </c>
      <c r="F168">
        <v>56</v>
      </c>
      <c r="G168">
        <v>222</v>
      </c>
      <c r="H168">
        <v>56</v>
      </c>
      <c r="I168">
        <v>56</v>
      </c>
      <c r="J168">
        <v>0</v>
      </c>
      <c r="K168">
        <v>111</v>
      </c>
      <c r="L168">
        <v>14</v>
      </c>
      <c r="N168">
        <v>278</v>
      </c>
      <c r="P168">
        <v>792</v>
      </c>
      <c r="Q168" t="s">
        <v>76</v>
      </c>
    </row>
    <row r="169" spans="1:17" x14ac:dyDescent="0.3">
      <c r="A169" t="s">
        <v>37</v>
      </c>
      <c r="B169">
        <v>-34.289369999999998</v>
      </c>
      <c r="C169">
        <v>138.01242999999999</v>
      </c>
      <c r="D169" s="2">
        <v>45906</v>
      </c>
      <c r="G169">
        <v>361</v>
      </c>
      <c r="I169">
        <v>1194</v>
      </c>
      <c r="J169">
        <v>833</v>
      </c>
      <c r="K169">
        <v>417</v>
      </c>
      <c r="L169">
        <v>667</v>
      </c>
      <c r="M169">
        <v>56</v>
      </c>
      <c r="O169">
        <v>83</v>
      </c>
      <c r="P169">
        <v>2778</v>
      </c>
      <c r="Q169" t="s">
        <v>76</v>
      </c>
    </row>
    <row r="170" spans="1:17" x14ac:dyDescent="0.3">
      <c r="A170" t="s">
        <v>82</v>
      </c>
      <c r="B170">
        <v>-34.190849999999998</v>
      </c>
      <c r="C170">
        <v>138.14476999999999</v>
      </c>
      <c r="D170" s="2">
        <v>45908</v>
      </c>
      <c r="I170">
        <v>169</v>
      </c>
      <c r="J170">
        <v>105</v>
      </c>
      <c r="L170">
        <v>3</v>
      </c>
      <c r="O170">
        <v>14</v>
      </c>
      <c r="P170">
        <v>186</v>
      </c>
      <c r="Q170" t="s">
        <v>78</v>
      </c>
    </row>
    <row r="171" spans="1:17" x14ac:dyDescent="0.3">
      <c r="A171" t="s">
        <v>82</v>
      </c>
      <c r="B171">
        <v>-34.190849999999998</v>
      </c>
      <c r="C171">
        <v>138.14476999999999</v>
      </c>
      <c r="D171" s="2">
        <v>45908</v>
      </c>
      <c r="I171">
        <v>24</v>
      </c>
      <c r="J171">
        <v>6</v>
      </c>
      <c r="L171">
        <v>0</v>
      </c>
      <c r="O171">
        <v>8</v>
      </c>
      <c r="P171">
        <v>32</v>
      </c>
      <c r="Q171" t="s">
        <v>78</v>
      </c>
    </row>
    <row r="172" spans="1:17" x14ac:dyDescent="0.3">
      <c r="A172" t="s">
        <v>84</v>
      </c>
      <c r="B172">
        <v>-34.486179999999997</v>
      </c>
      <c r="C172">
        <v>138.28238999999999</v>
      </c>
      <c r="D172" s="2">
        <v>45908</v>
      </c>
      <c r="I172">
        <v>129</v>
      </c>
      <c r="J172">
        <v>116</v>
      </c>
      <c r="L172">
        <v>50</v>
      </c>
      <c r="O172">
        <v>19</v>
      </c>
      <c r="P172">
        <v>199</v>
      </c>
      <c r="Q172" t="s">
        <v>78</v>
      </c>
    </row>
    <row r="173" spans="1:17" x14ac:dyDescent="0.3">
      <c r="A173" t="s">
        <v>84</v>
      </c>
      <c r="B173">
        <v>-34.486179999999997</v>
      </c>
      <c r="C173">
        <v>138.28238999999999</v>
      </c>
      <c r="D173" s="2">
        <v>45908</v>
      </c>
      <c r="I173">
        <v>190</v>
      </c>
      <c r="J173">
        <v>120</v>
      </c>
      <c r="L173">
        <v>156</v>
      </c>
      <c r="O173">
        <v>48</v>
      </c>
      <c r="P173">
        <v>394</v>
      </c>
      <c r="Q173" t="s">
        <v>78</v>
      </c>
    </row>
    <row r="174" spans="1:17" x14ac:dyDescent="0.3">
      <c r="A174" t="s">
        <v>54</v>
      </c>
      <c r="B174">
        <v>-34.681815</v>
      </c>
      <c r="C174">
        <v>138.42975300000001</v>
      </c>
      <c r="D174" s="2">
        <v>45909</v>
      </c>
      <c r="G174">
        <v>9500</v>
      </c>
      <c r="I174">
        <v>9500</v>
      </c>
      <c r="J174">
        <v>6500</v>
      </c>
      <c r="K174">
        <v>167</v>
      </c>
      <c r="L174">
        <v>1056</v>
      </c>
      <c r="O174">
        <v>167</v>
      </c>
      <c r="P174">
        <v>20389</v>
      </c>
      <c r="Q174" t="s">
        <v>76</v>
      </c>
    </row>
    <row r="175" spans="1:17" x14ac:dyDescent="0.3">
      <c r="A175" t="s">
        <v>55</v>
      </c>
      <c r="B175">
        <v>-34.714106999999998</v>
      </c>
      <c r="C175">
        <v>138.427032</v>
      </c>
      <c r="D175" s="2">
        <v>45909</v>
      </c>
      <c r="G175">
        <v>333</v>
      </c>
      <c r="H175">
        <v>56</v>
      </c>
      <c r="I175">
        <v>944</v>
      </c>
      <c r="J175">
        <v>556</v>
      </c>
      <c r="K175">
        <v>56</v>
      </c>
      <c r="L175">
        <v>167</v>
      </c>
      <c r="P175">
        <v>1556</v>
      </c>
      <c r="Q175" t="s">
        <v>76</v>
      </c>
    </row>
    <row r="176" spans="1:17" x14ac:dyDescent="0.3">
      <c r="A176" t="s">
        <v>56</v>
      </c>
      <c r="B176">
        <v>-34.731737000000003</v>
      </c>
      <c r="C176">
        <v>138.44375500000001</v>
      </c>
      <c r="D176" s="2">
        <v>45909</v>
      </c>
      <c r="G176">
        <v>833</v>
      </c>
      <c r="I176">
        <v>1444</v>
      </c>
      <c r="J176">
        <v>889</v>
      </c>
      <c r="K176">
        <v>167</v>
      </c>
      <c r="L176">
        <v>111</v>
      </c>
      <c r="O176">
        <v>56</v>
      </c>
      <c r="P176">
        <v>2611</v>
      </c>
      <c r="Q176" t="s">
        <v>76</v>
      </c>
    </row>
    <row r="177" spans="1:17" x14ac:dyDescent="0.3">
      <c r="A177" t="s">
        <v>57</v>
      </c>
      <c r="B177">
        <v>-34.733525</v>
      </c>
      <c r="C177">
        <v>138.48838000000001</v>
      </c>
      <c r="D177" s="2">
        <v>45909</v>
      </c>
      <c r="G177">
        <v>2222</v>
      </c>
      <c r="I177">
        <v>38667</v>
      </c>
      <c r="J177">
        <v>30333</v>
      </c>
      <c r="L177">
        <v>4444</v>
      </c>
      <c r="O177">
        <v>111</v>
      </c>
      <c r="P177">
        <v>45444</v>
      </c>
      <c r="Q177" t="s">
        <v>76</v>
      </c>
    </row>
    <row r="178" spans="1:17" x14ac:dyDescent="0.3">
      <c r="A178" t="s">
        <v>58</v>
      </c>
      <c r="B178">
        <v>-34.237800999999997</v>
      </c>
      <c r="C178">
        <v>138.01289700000001</v>
      </c>
      <c r="D178" s="2">
        <v>45912</v>
      </c>
      <c r="G178">
        <v>111</v>
      </c>
      <c r="I178">
        <v>1074</v>
      </c>
      <c r="J178">
        <v>815</v>
      </c>
      <c r="K178">
        <v>630</v>
      </c>
      <c r="L178">
        <v>704</v>
      </c>
      <c r="M178">
        <v>37</v>
      </c>
      <c r="O178">
        <v>370</v>
      </c>
      <c r="P178">
        <v>2929</v>
      </c>
      <c r="Q178" t="s">
        <v>76</v>
      </c>
    </row>
    <row r="179" spans="1:17" x14ac:dyDescent="0.3">
      <c r="A179" t="s">
        <v>59</v>
      </c>
      <c r="B179">
        <v>-35.084850000000003</v>
      </c>
      <c r="C179">
        <v>137.74889999999999</v>
      </c>
      <c r="D179" s="2">
        <v>45912</v>
      </c>
      <c r="G179">
        <v>833</v>
      </c>
      <c r="I179">
        <v>944</v>
      </c>
      <c r="J179">
        <v>667</v>
      </c>
      <c r="K179">
        <v>333</v>
      </c>
      <c r="L179">
        <v>667</v>
      </c>
      <c r="P179">
        <v>2778</v>
      </c>
      <c r="Q179" t="s">
        <v>76</v>
      </c>
    </row>
    <row r="180" spans="1:17" x14ac:dyDescent="0.3">
      <c r="A180" t="s">
        <v>15</v>
      </c>
      <c r="B180">
        <v>-35.152030000000003</v>
      </c>
      <c r="C180">
        <v>138.47327999999999</v>
      </c>
      <c r="D180" s="2">
        <v>45912</v>
      </c>
      <c r="G180">
        <v>56</v>
      </c>
      <c r="I180">
        <v>222</v>
      </c>
      <c r="J180">
        <v>0</v>
      </c>
      <c r="K180">
        <v>222</v>
      </c>
      <c r="L180">
        <v>1000</v>
      </c>
      <c r="M180">
        <v>222</v>
      </c>
      <c r="O180">
        <v>56</v>
      </c>
      <c r="P180">
        <v>1778</v>
      </c>
      <c r="Q180" t="s">
        <v>76</v>
      </c>
    </row>
    <row r="181" spans="1:17" x14ac:dyDescent="0.3">
      <c r="A181" t="s">
        <v>15</v>
      </c>
      <c r="B181">
        <v>-35.152030000000003</v>
      </c>
      <c r="C181">
        <v>138.47327999999999</v>
      </c>
      <c r="D181" s="2">
        <v>45912</v>
      </c>
      <c r="G181">
        <v>222</v>
      </c>
      <c r="I181">
        <v>111</v>
      </c>
      <c r="J181">
        <v>0</v>
      </c>
      <c r="K181">
        <v>333</v>
      </c>
      <c r="L181">
        <v>1500</v>
      </c>
      <c r="M181">
        <v>56</v>
      </c>
      <c r="O181">
        <v>167</v>
      </c>
      <c r="P181">
        <v>2389</v>
      </c>
      <c r="Q181" t="s">
        <v>76</v>
      </c>
    </row>
    <row r="182" spans="1:17" x14ac:dyDescent="0.3">
      <c r="A182" t="s">
        <v>60</v>
      </c>
      <c r="B182">
        <v>-33.927239999999998</v>
      </c>
      <c r="C182">
        <v>137.61905999999999</v>
      </c>
      <c r="D182" s="2">
        <v>45913</v>
      </c>
      <c r="G182">
        <v>647</v>
      </c>
      <c r="H182">
        <v>176</v>
      </c>
      <c r="I182">
        <v>59</v>
      </c>
      <c r="J182">
        <v>0</v>
      </c>
      <c r="K182">
        <v>118</v>
      </c>
      <c r="L182">
        <v>118</v>
      </c>
      <c r="N182">
        <v>471</v>
      </c>
      <c r="P182">
        <v>1588</v>
      </c>
      <c r="Q182" t="s">
        <v>76</v>
      </c>
    </row>
    <row r="183" spans="1:17" x14ac:dyDescent="0.3">
      <c r="A183" t="s">
        <v>37</v>
      </c>
      <c r="B183">
        <v>-34.289369999999998</v>
      </c>
      <c r="C183">
        <v>138.01242999999999</v>
      </c>
      <c r="D183" s="2">
        <v>45913</v>
      </c>
      <c r="G183">
        <v>500</v>
      </c>
      <c r="I183">
        <v>2167</v>
      </c>
      <c r="J183">
        <v>1556</v>
      </c>
      <c r="K183">
        <v>278</v>
      </c>
      <c r="L183">
        <v>889</v>
      </c>
      <c r="M183">
        <v>56</v>
      </c>
      <c r="O183">
        <v>28</v>
      </c>
      <c r="P183">
        <v>3917</v>
      </c>
      <c r="Q183" t="s">
        <v>76</v>
      </c>
    </row>
    <row r="184" spans="1:17" x14ac:dyDescent="0.3">
      <c r="A184" t="s">
        <v>131</v>
      </c>
      <c r="B184">
        <v>-35.078539999999997</v>
      </c>
      <c r="C184">
        <v>138.49587</v>
      </c>
      <c r="D184" s="2">
        <v>45914</v>
      </c>
      <c r="I184">
        <v>534</v>
      </c>
      <c r="J184">
        <v>492</v>
      </c>
      <c r="L184">
        <v>70</v>
      </c>
      <c r="O184">
        <v>34</v>
      </c>
      <c r="P184">
        <v>638</v>
      </c>
      <c r="Q184" t="s">
        <v>78</v>
      </c>
    </row>
    <row r="185" spans="1:17" x14ac:dyDescent="0.3">
      <c r="A185" t="s">
        <v>61</v>
      </c>
      <c r="B185">
        <v>-34.074730000000002</v>
      </c>
      <c r="C185">
        <v>137.54074</v>
      </c>
      <c r="D185" s="2">
        <v>45915</v>
      </c>
      <c r="F185">
        <v>389</v>
      </c>
      <c r="H185">
        <v>167</v>
      </c>
      <c r="I185">
        <v>167</v>
      </c>
      <c r="J185">
        <v>0</v>
      </c>
      <c r="K185">
        <v>389</v>
      </c>
      <c r="M185">
        <v>56</v>
      </c>
      <c r="N185">
        <v>29000</v>
      </c>
      <c r="P185">
        <v>30167</v>
      </c>
      <c r="Q185" t="s">
        <v>76</v>
      </c>
    </row>
    <row r="186" spans="1:17" x14ac:dyDescent="0.3">
      <c r="A186" t="s">
        <v>62</v>
      </c>
      <c r="B186">
        <v>-34.438363000000003</v>
      </c>
      <c r="C186">
        <v>138.22989200000001</v>
      </c>
      <c r="D186" s="2">
        <v>45915</v>
      </c>
      <c r="G186">
        <v>500</v>
      </c>
      <c r="I186">
        <v>2722</v>
      </c>
      <c r="J186">
        <v>1556</v>
      </c>
      <c r="K186">
        <v>111</v>
      </c>
      <c r="L186">
        <v>278</v>
      </c>
      <c r="M186">
        <v>56</v>
      </c>
      <c r="P186">
        <v>3667</v>
      </c>
      <c r="Q186" t="s">
        <v>76</v>
      </c>
    </row>
    <row r="187" spans="1:17" x14ac:dyDescent="0.3">
      <c r="A187" t="s">
        <v>63</v>
      </c>
      <c r="B187">
        <v>-34.413778000000001</v>
      </c>
      <c r="C187">
        <v>138.16933299999999</v>
      </c>
      <c r="D187" s="2">
        <v>45915</v>
      </c>
      <c r="G187">
        <v>18</v>
      </c>
      <c r="I187">
        <v>4444</v>
      </c>
      <c r="J187">
        <v>3333</v>
      </c>
      <c r="K187">
        <v>444</v>
      </c>
      <c r="L187">
        <v>222</v>
      </c>
      <c r="M187">
        <v>4889</v>
      </c>
      <c r="P187">
        <v>111</v>
      </c>
      <c r="Q187" t="s">
        <v>76</v>
      </c>
    </row>
    <row r="188" spans="1:17" x14ac:dyDescent="0.3">
      <c r="A188" t="s">
        <v>94</v>
      </c>
      <c r="B188">
        <v>-35.58858</v>
      </c>
      <c r="C188">
        <v>138.60474600000001</v>
      </c>
      <c r="D188" s="2">
        <v>45916</v>
      </c>
      <c r="G188">
        <v>56</v>
      </c>
      <c r="J188">
        <v>0</v>
      </c>
      <c r="O188">
        <v>444</v>
      </c>
      <c r="P188">
        <v>500</v>
      </c>
      <c r="Q188" t="s">
        <v>129</v>
      </c>
    </row>
    <row r="189" spans="1:17" x14ac:dyDescent="0.3">
      <c r="A189" t="s">
        <v>176</v>
      </c>
      <c r="B189">
        <v>-35.596191849999997</v>
      </c>
      <c r="C189">
        <v>138.60151999999999</v>
      </c>
      <c r="D189" s="2">
        <v>45917</v>
      </c>
      <c r="F189">
        <v>56</v>
      </c>
      <c r="H189">
        <v>56</v>
      </c>
      <c r="I189">
        <v>111</v>
      </c>
      <c r="J189">
        <v>0</v>
      </c>
      <c r="K189">
        <v>56</v>
      </c>
      <c r="N189">
        <v>389</v>
      </c>
      <c r="O189">
        <v>500</v>
      </c>
      <c r="P189">
        <v>1168</v>
      </c>
      <c r="Q189" t="s">
        <v>129</v>
      </c>
    </row>
    <row r="190" spans="1:17" x14ac:dyDescent="0.3">
      <c r="A190" t="s">
        <v>79</v>
      </c>
      <c r="B190">
        <v>-34.804169999999999</v>
      </c>
      <c r="C190">
        <v>138.53970000000001</v>
      </c>
      <c r="D190" s="2">
        <v>45918</v>
      </c>
      <c r="E190" s="20">
        <v>0.58194444444444449</v>
      </c>
      <c r="I190">
        <v>695</v>
      </c>
      <c r="J190">
        <v>522</v>
      </c>
      <c r="L190">
        <v>206</v>
      </c>
      <c r="O190">
        <v>32</v>
      </c>
      <c r="P190">
        <v>934</v>
      </c>
      <c r="Q190" t="s">
        <v>78</v>
      </c>
    </row>
    <row r="191" spans="1:17" x14ac:dyDescent="0.3">
      <c r="A191" t="s">
        <v>235</v>
      </c>
      <c r="B191">
        <v>-34.837600000000002</v>
      </c>
      <c r="C191">
        <v>138.47788</v>
      </c>
      <c r="D191" s="2">
        <v>45918</v>
      </c>
      <c r="I191">
        <v>141</v>
      </c>
      <c r="J191">
        <v>117</v>
      </c>
      <c r="L191">
        <v>21</v>
      </c>
      <c r="O191">
        <v>31</v>
      </c>
      <c r="P191">
        <v>193</v>
      </c>
      <c r="Q191" t="s">
        <v>78</v>
      </c>
    </row>
    <row r="192" spans="1:17" x14ac:dyDescent="0.3">
      <c r="A192" t="s">
        <v>85</v>
      </c>
      <c r="B192">
        <v>-34.873939999999997</v>
      </c>
      <c r="C192">
        <v>138.48820000000001</v>
      </c>
      <c r="D192" s="2">
        <v>45918</v>
      </c>
      <c r="I192">
        <v>573</v>
      </c>
      <c r="J192">
        <v>554</v>
      </c>
      <c r="L192">
        <v>4</v>
      </c>
      <c r="O192">
        <v>22</v>
      </c>
      <c r="P192">
        <v>599</v>
      </c>
      <c r="Q192" t="s">
        <v>78</v>
      </c>
    </row>
    <row r="193" spans="1:17" x14ac:dyDescent="0.3">
      <c r="A193" t="s">
        <v>37</v>
      </c>
      <c r="B193">
        <v>-34.289369999999998</v>
      </c>
      <c r="C193">
        <v>138.01242999999999</v>
      </c>
      <c r="D193" s="2">
        <v>45919</v>
      </c>
      <c r="F193">
        <v>56</v>
      </c>
      <c r="G193">
        <v>32500</v>
      </c>
      <c r="H193">
        <v>56</v>
      </c>
      <c r="I193">
        <v>2056</v>
      </c>
      <c r="J193">
        <v>611</v>
      </c>
      <c r="K193">
        <v>222</v>
      </c>
      <c r="L193">
        <v>556</v>
      </c>
      <c r="P193">
        <v>35444</v>
      </c>
      <c r="Q193" t="s">
        <v>76</v>
      </c>
    </row>
    <row r="194" spans="1:17" x14ac:dyDescent="0.3">
      <c r="A194" t="s">
        <v>130</v>
      </c>
      <c r="B194">
        <v>-35.078539999999997</v>
      </c>
      <c r="C194">
        <v>138.49587</v>
      </c>
      <c r="D194" s="2">
        <v>45920</v>
      </c>
      <c r="E194" s="20">
        <v>0.55277777777777781</v>
      </c>
      <c r="I194">
        <v>526</v>
      </c>
      <c r="J194">
        <v>492</v>
      </c>
      <c r="L194">
        <v>24</v>
      </c>
      <c r="O194">
        <v>24</v>
      </c>
      <c r="P194">
        <v>574</v>
      </c>
      <c r="Q194" t="s">
        <v>78</v>
      </c>
    </row>
    <row r="195" spans="1:17" x14ac:dyDescent="0.3">
      <c r="A195" t="s">
        <v>83</v>
      </c>
      <c r="B195">
        <v>-32.771623179292703</v>
      </c>
      <c r="C195">
        <v>134.21122774492099</v>
      </c>
      <c r="D195" s="2">
        <v>45920</v>
      </c>
      <c r="I195">
        <v>0</v>
      </c>
      <c r="J195">
        <v>0</v>
      </c>
      <c r="L195">
        <v>5</v>
      </c>
      <c r="O195">
        <v>2</v>
      </c>
      <c r="P195">
        <v>7</v>
      </c>
      <c r="Q195" t="s">
        <v>78</v>
      </c>
    </row>
    <row r="196" spans="1:17" x14ac:dyDescent="0.3">
      <c r="A196" t="s">
        <v>18</v>
      </c>
      <c r="B196">
        <v>-34.744259999999997</v>
      </c>
      <c r="C196">
        <v>138.53462999999999</v>
      </c>
      <c r="D196" s="2">
        <v>45921</v>
      </c>
      <c r="G196">
        <v>444</v>
      </c>
      <c r="H196">
        <v>111</v>
      </c>
      <c r="I196">
        <v>54000</v>
      </c>
      <c r="J196">
        <v>45000</v>
      </c>
      <c r="K196">
        <v>167</v>
      </c>
      <c r="L196">
        <v>2722</v>
      </c>
      <c r="M196">
        <v>222</v>
      </c>
      <c r="O196">
        <v>56</v>
      </c>
      <c r="P196">
        <v>57722</v>
      </c>
      <c r="Q196" t="s">
        <v>76</v>
      </c>
    </row>
    <row r="197" spans="1:17" x14ac:dyDescent="0.3">
      <c r="A197" t="s">
        <v>86</v>
      </c>
      <c r="B197">
        <v>-35.540277000000003</v>
      </c>
      <c r="C197">
        <v>138.66416599999999</v>
      </c>
      <c r="D197" s="2">
        <v>45921</v>
      </c>
      <c r="I197">
        <v>56</v>
      </c>
      <c r="J197">
        <v>0</v>
      </c>
      <c r="O197">
        <v>278</v>
      </c>
      <c r="P197">
        <v>334</v>
      </c>
      <c r="Q197" t="s">
        <v>129</v>
      </c>
    </row>
    <row r="198" spans="1:17" x14ac:dyDescent="0.3">
      <c r="A198" t="s">
        <v>100</v>
      </c>
      <c r="B198">
        <v>-35.536745000000003</v>
      </c>
      <c r="C198">
        <v>138.6913744</v>
      </c>
      <c r="D198" s="2">
        <v>45921</v>
      </c>
      <c r="G198">
        <v>56</v>
      </c>
      <c r="H198">
        <v>56</v>
      </c>
      <c r="J198">
        <v>0</v>
      </c>
      <c r="L198">
        <v>111</v>
      </c>
      <c r="N198">
        <v>167</v>
      </c>
      <c r="O198">
        <v>389</v>
      </c>
      <c r="P198">
        <v>779</v>
      </c>
      <c r="Q198" t="s">
        <v>129</v>
      </c>
    </row>
    <row r="199" spans="1:17" x14ac:dyDescent="0.3">
      <c r="A199" t="s">
        <v>87</v>
      </c>
      <c r="B199">
        <v>-35.573300000000003</v>
      </c>
      <c r="C199">
        <v>138.64250000000001</v>
      </c>
      <c r="D199" s="2">
        <v>45921</v>
      </c>
      <c r="G199">
        <v>56</v>
      </c>
      <c r="H199">
        <v>56</v>
      </c>
      <c r="I199">
        <v>111</v>
      </c>
      <c r="J199">
        <v>0</v>
      </c>
      <c r="K199">
        <v>56</v>
      </c>
      <c r="L199">
        <v>56</v>
      </c>
      <c r="N199">
        <v>500</v>
      </c>
      <c r="O199">
        <v>667</v>
      </c>
      <c r="P199">
        <v>1502</v>
      </c>
      <c r="Q199" t="s">
        <v>129</v>
      </c>
    </row>
    <row r="200" spans="1:17" x14ac:dyDescent="0.3">
      <c r="A200" t="s">
        <v>123</v>
      </c>
      <c r="B200">
        <v>-35.579087000000001</v>
      </c>
      <c r="C200">
        <v>138.60618769999999</v>
      </c>
      <c r="D200" s="2">
        <v>45921</v>
      </c>
      <c r="G200">
        <v>56</v>
      </c>
      <c r="H200">
        <v>56</v>
      </c>
      <c r="J200">
        <v>0</v>
      </c>
      <c r="L200">
        <v>56</v>
      </c>
      <c r="N200">
        <v>278</v>
      </c>
      <c r="O200">
        <v>111</v>
      </c>
      <c r="P200">
        <v>557</v>
      </c>
      <c r="Q200" t="s">
        <v>129</v>
      </c>
    </row>
    <row r="201" spans="1:17" x14ac:dyDescent="0.3">
      <c r="A201" t="s">
        <v>124</v>
      </c>
      <c r="B201">
        <v>-35.574167000000003</v>
      </c>
      <c r="C201">
        <v>138.61528000000001</v>
      </c>
      <c r="D201" s="2">
        <v>45921</v>
      </c>
      <c r="J201">
        <v>0</v>
      </c>
      <c r="N201">
        <v>667</v>
      </c>
      <c r="O201">
        <v>778</v>
      </c>
      <c r="P201">
        <v>1445</v>
      </c>
      <c r="Q201" t="s">
        <v>129</v>
      </c>
    </row>
    <row r="202" spans="1:17" x14ac:dyDescent="0.3">
      <c r="A202" t="s">
        <v>89</v>
      </c>
      <c r="B202">
        <v>-35.6048446</v>
      </c>
      <c r="C202">
        <v>138.59278499999999</v>
      </c>
      <c r="D202" s="2">
        <v>45921</v>
      </c>
      <c r="J202">
        <v>0</v>
      </c>
      <c r="L202">
        <v>167</v>
      </c>
      <c r="N202">
        <v>556</v>
      </c>
      <c r="O202">
        <v>389</v>
      </c>
      <c r="P202">
        <v>1112</v>
      </c>
      <c r="Q202" t="s">
        <v>129</v>
      </c>
    </row>
    <row r="203" spans="1:17" x14ac:dyDescent="0.3">
      <c r="A203" t="s">
        <v>90</v>
      </c>
      <c r="B203">
        <v>-35.615555999999998</v>
      </c>
      <c r="C203">
        <v>138.56833</v>
      </c>
      <c r="D203" s="2">
        <v>45921</v>
      </c>
      <c r="G203">
        <v>111</v>
      </c>
      <c r="J203">
        <v>0</v>
      </c>
      <c r="L203">
        <v>56</v>
      </c>
      <c r="N203">
        <v>167</v>
      </c>
      <c r="O203">
        <v>444</v>
      </c>
      <c r="P203">
        <v>778</v>
      </c>
      <c r="Q203" t="s">
        <v>129</v>
      </c>
    </row>
    <row r="204" spans="1:17" x14ac:dyDescent="0.3">
      <c r="A204" t="s">
        <v>25</v>
      </c>
      <c r="B204">
        <v>-34.745739999999998</v>
      </c>
      <c r="C204">
        <v>138.53829999999999</v>
      </c>
      <c r="D204" s="2">
        <v>45924</v>
      </c>
      <c r="G204">
        <v>1556</v>
      </c>
      <c r="H204">
        <v>1444</v>
      </c>
      <c r="I204">
        <v>3111</v>
      </c>
      <c r="J204">
        <v>944</v>
      </c>
      <c r="K204">
        <v>556</v>
      </c>
      <c r="L204">
        <v>1889</v>
      </c>
      <c r="M204">
        <v>56</v>
      </c>
      <c r="N204">
        <v>500</v>
      </c>
      <c r="O204">
        <v>56</v>
      </c>
      <c r="P204">
        <v>9167</v>
      </c>
      <c r="Q204" t="s">
        <v>76</v>
      </c>
    </row>
    <row r="205" spans="1:17" x14ac:dyDescent="0.3">
      <c r="A205" t="s">
        <v>79</v>
      </c>
      <c r="B205">
        <v>-34.804169999999999</v>
      </c>
      <c r="C205">
        <v>138.53970000000001</v>
      </c>
      <c r="D205" s="2">
        <v>45926</v>
      </c>
      <c r="I205">
        <v>362</v>
      </c>
      <c r="J205">
        <v>173</v>
      </c>
      <c r="L205">
        <v>131</v>
      </c>
      <c r="O205">
        <v>11</v>
      </c>
      <c r="P205">
        <v>504</v>
      </c>
      <c r="Q205" t="s">
        <v>78</v>
      </c>
    </row>
    <row r="206" spans="1:17" x14ac:dyDescent="0.3">
      <c r="A206" t="s">
        <v>130</v>
      </c>
      <c r="B206">
        <v>-35.078539999999997</v>
      </c>
      <c r="C206">
        <v>138.49587</v>
      </c>
      <c r="D206" s="2">
        <v>45926</v>
      </c>
      <c r="I206">
        <v>201</v>
      </c>
      <c r="J206">
        <v>182</v>
      </c>
      <c r="L206">
        <v>8</v>
      </c>
      <c r="O206">
        <v>1</v>
      </c>
      <c r="P206">
        <v>211</v>
      </c>
      <c r="Q206" t="s">
        <v>78</v>
      </c>
    </row>
    <row r="207" spans="1:17" x14ac:dyDescent="0.3">
      <c r="A207" t="s">
        <v>85</v>
      </c>
      <c r="B207">
        <v>-34.873939999999997</v>
      </c>
      <c r="C207">
        <v>138.48820000000001</v>
      </c>
      <c r="D207" s="2">
        <v>45926</v>
      </c>
      <c r="I207">
        <v>411</v>
      </c>
      <c r="J207">
        <v>354</v>
      </c>
      <c r="L207">
        <v>4</v>
      </c>
      <c r="O207">
        <v>9</v>
      </c>
      <c r="P207">
        <v>424</v>
      </c>
      <c r="Q207" t="s">
        <v>78</v>
      </c>
    </row>
    <row r="208" spans="1:17" x14ac:dyDescent="0.3">
      <c r="A208" t="s">
        <v>37</v>
      </c>
      <c r="B208">
        <v>-34.289369999999998</v>
      </c>
      <c r="C208">
        <v>138.01242999999999</v>
      </c>
      <c r="D208" s="2">
        <v>45927</v>
      </c>
      <c r="G208">
        <v>778</v>
      </c>
      <c r="I208">
        <v>2667</v>
      </c>
      <c r="J208">
        <v>667</v>
      </c>
      <c r="K208">
        <v>56</v>
      </c>
      <c r="L208">
        <v>1333</v>
      </c>
      <c r="O208">
        <v>19</v>
      </c>
      <c r="P208">
        <v>4952</v>
      </c>
      <c r="Q208" t="s">
        <v>76</v>
      </c>
    </row>
    <row r="209" spans="1:17" x14ac:dyDescent="0.3">
      <c r="A209" t="s">
        <v>162</v>
      </c>
      <c r="B209">
        <v>-34.979653900000002</v>
      </c>
      <c r="C209">
        <v>138.50955999999999</v>
      </c>
      <c r="D209" s="2">
        <v>45930</v>
      </c>
      <c r="H209">
        <v>56</v>
      </c>
      <c r="I209">
        <v>3222</v>
      </c>
      <c r="J209">
        <v>1222</v>
      </c>
      <c r="L209">
        <v>56</v>
      </c>
      <c r="O209">
        <v>2833</v>
      </c>
      <c r="P209">
        <v>6167</v>
      </c>
      <c r="Q209" t="s">
        <v>129</v>
      </c>
    </row>
    <row r="210" spans="1:17" x14ac:dyDescent="0.3">
      <c r="A210" t="s">
        <v>162</v>
      </c>
      <c r="B210">
        <v>-34.979653900000002</v>
      </c>
      <c r="C210">
        <v>138.50955999999999</v>
      </c>
      <c r="D210" s="2">
        <v>45930</v>
      </c>
      <c r="I210">
        <v>8111</v>
      </c>
      <c r="J210">
        <v>1333</v>
      </c>
      <c r="L210">
        <v>111</v>
      </c>
      <c r="O210">
        <v>5778</v>
      </c>
      <c r="P210">
        <v>14000</v>
      </c>
      <c r="Q210" t="s">
        <v>129</v>
      </c>
    </row>
    <row r="211" spans="1:17" x14ac:dyDescent="0.3">
      <c r="A211" t="s">
        <v>162</v>
      </c>
      <c r="B211">
        <v>-34.979653900000002</v>
      </c>
      <c r="C211">
        <v>138.50955999999999</v>
      </c>
      <c r="D211" s="2">
        <v>45931</v>
      </c>
      <c r="I211">
        <v>5166</v>
      </c>
      <c r="J211">
        <v>1833</v>
      </c>
      <c r="L211">
        <v>222</v>
      </c>
      <c r="O211">
        <v>667</v>
      </c>
      <c r="P211">
        <v>6055</v>
      </c>
      <c r="Q211" t="s">
        <v>129</v>
      </c>
    </row>
    <row r="212" spans="1:17" x14ac:dyDescent="0.3">
      <c r="A212" t="s">
        <v>142</v>
      </c>
      <c r="B212" s="5">
        <v>-34.876918449999998</v>
      </c>
      <c r="C212" s="5">
        <v>138.47996235010001</v>
      </c>
      <c r="D212" s="2">
        <v>45932</v>
      </c>
      <c r="I212">
        <v>555</v>
      </c>
      <c r="J212">
        <v>555</v>
      </c>
      <c r="P212">
        <v>1000</v>
      </c>
      <c r="Q212" t="s">
        <v>143</v>
      </c>
    </row>
    <row r="213" spans="1:17" x14ac:dyDescent="0.3">
      <c r="A213" t="s">
        <v>144</v>
      </c>
      <c r="B213" s="5">
        <v>-34.87530331</v>
      </c>
      <c r="C213" s="5">
        <v>138.48543405999999</v>
      </c>
      <c r="D213" s="2">
        <v>45932</v>
      </c>
      <c r="I213">
        <v>10800</v>
      </c>
      <c r="J213">
        <v>10800</v>
      </c>
      <c r="P213">
        <v>10800</v>
      </c>
      <c r="Q213" t="s">
        <v>143</v>
      </c>
    </row>
    <row r="214" spans="1:17" x14ac:dyDescent="0.3">
      <c r="A214" t="s">
        <v>145</v>
      </c>
      <c r="B214" s="5">
        <v>-34.874911619999999</v>
      </c>
      <c r="C214" s="5">
        <v>138.4853214</v>
      </c>
      <c r="D214" s="2">
        <v>45932</v>
      </c>
      <c r="I214">
        <v>9600</v>
      </c>
      <c r="J214">
        <v>9600</v>
      </c>
      <c r="P214">
        <v>9600</v>
      </c>
      <c r="Q214" t="s">
        <v>143</v>
      </c>
    </row>
    <row r="215" spans="1:17" x14ac:dyDescent="0.3">
      <c r="A215" t="s">
        <v>146</v>
      </c>
      <c r="B215" s="5">
        <v>-34.893833659999999</v>
      </c>
      <c r="C215" s="5">
        <v>138.49006890999999</v>
      </c>
      <c r="D215" s="2">
        <v>45932</v>
      </c>
      <c r="I215">
        <v>850</v>
      </c>
      <c r="J215">
        <v>850</v>
      </c>
      <c r="P215">
        <v>850</v>
      </c>
      <c r="Q215" t="s">
        <v>143</v>
      </c>
    </row>
    <row r="216" spans="1:17" x14ac:dyDescent="0.3">
      <c r="A216" t="s">
        <v>37</v>
      </c>
      <c r="B216">
        <v>-34.289369999999998</v>
      </c>
      <c r="C216">
        <v>138.01242999999999</v>
      </c>
      <c r="D216" s="2">
        <v>45933</v>
      </c>
      <c r="G216">
        <v>167</v>
      </c>
      <c r="I216">
        <v>6667</v>
      </c>
      <c r="J216">
        <v>4500</v>
      </c>
      <c r="K216">
        <v>56</v>
      </c>
      <c r="L216">
        <v>1056</v>
      </c>
      <c r="O216">
        <v>889</v>
      </c>
      <c r="P216">
        <v>8833</v>
      </c>
      <c r="Q216" t="s">
        <v>76</v>
      </c>
    </row>
    <row r="217" spans="1:17" x14ac:dyDescent="0.3">
      <c r="A217" t="s">
        <v>142</v>
      </c>
      <c r="B217" s="5">
        <v>-34.876918449999998</v>
      </c>
      <c r="C217" s="5">
        <v>138.47996235010001</v>
      </c>
      <c r="D217" s="2">
        <v>45934</v>
      </c>
      <c r="I217">
        <v>25750</v>
      </c>
      <c r="J217">
        <v>21000</v>
      </c>
      <c r="P217">
        <v>25750</v>
      </c>
      <c r="Q217" t="s">
        <v>143</v>
      </c>
    </row>
    <row r="218" spans="1:17" x14ac:dyDescent="0.3">
      <c r="A218" t="s">
        <v>144</v>
      </c>
      <c r="B218" s="5">
        <v>-34.87530331</v>
      </c>
      <c r="C218" s="5">
        <v>138.48543405999999</v>
      </c>
      <c r="D218" s="2">
        <v>45934</v>
      </c>
      <c r="I218">
        <v>4035</v>
      </c>
      <c r="J218">
        <v>335</v>
      </c>
      <c r="P218">
        <v>4035</v>
      </c>
      <c r="Q218" t="s">
        <v>143</v>
      </c>
    </row>
    <row r="219" spans="1:17" x14ac:dyDescent="0.3">
      <c r="A219" t="s">
        <v>145</v>
      </c>
      <c r="B219" s="5">
        <v>-34.874911619999999</v>
      </c>
      <c r="C219" s="5">
        <v>138.4853214</v>
      </c>
      <c r="D219" s="2">
        <v>45934</v>
      </c>
      <c r="I219">
        <v>8750</v>
      </c>
      <c r="J219">
        <v>333</v>
      </c>
      <c r="P219">
        <v>8750</v>
      </c>
      <c r="Q219" t="s">
        <v>143</v>
      </c>
    </row>
    <row r="220" spans="1:17" x14ac:dyDescent="0.3">
      <c r="A220" t="s">
        <v>146</v>
      </c>
      <c r="B220" s="5">
        <v>-34.893833659999999</v>
      </c>
      <c r="C220" s="5">
        <v>138.49006890999999</v>
      </c>
      <c r="D220" s="2">
        <v>45934</v>
      </c>
      <c r="I220">
        <v>8550</v>
      </c>
      <c r="J220">
        <v>8200</v>
      </c>
      <c r="P220">
        <v>8550</v>
      </c>
      <c r="Q220" t="s">
        <v>143</v>
      </c>
    </row>
    <row r="221" spans="1:17" x14ac:dyDescent="0.3">
      <c r="A221" t="s">
        <v>18</v>
      </c>
      <c r="B221">
        <v>-34.744259999999997</v>
      </c>
      <c r="C221">
        <v>138.53462999999999</v>
      </c>
      <c r="D221" s="2">
        <v>45936</v>
      </c>
      <c r="G221">
        <v>1556</v>
      </c>
      <c r="H221">
        <v>778</v>
      </c>
      <c r="I221">
        <v>14833</v>
      </c>
      <c r="J221">
        <v>12667</v>
      </c>
      <c r="K221">
        <v>389</v>
      </c>
      <c r="L221">
        <v>3778</v>
      </c>
      <c r="M221">
        <v>111</v>
      </c>
      <c r="O221">
        <v>389</v>
      </c>
      <c r="P221">
        <v>21833</v>
      </c>
      <c r="Q221" t="s">
        <v>76</v>
      </c>
    </row>
    <row r="222" spans="1:17" x14ac:dyDescent="0.3">
      <c r="A222" t="s">
        <v>79</v>
      </c>
      <c r="B222">
        <v>-34.804169999999999</v>
      </c>
      <c r="C222">
        <v>138.53970000000001</v>
      </c>
      <c r="D222" s="2">
        <v>45941</v>
      </c>
      <c r="I222">
        <v>1507</v>
      </c>
      <c r="J222">
        <v>1458</v>
      </c>
      <c r="L222">
        <v>280</v>
      </c>
      <c r="O222">
        <v>109</v>
      </c>
      <c r="P222">
        <v>1896</v>
      </c>
      <c r="Q222" t="s">
        <v>78</v>
      </c>
    </row>
    <row r="223" spans="1:17" x14ac:dyDescent="0.3">
      <c r="A223" t="s">
        <v>130</v>
      </c>
      <c r="B223">
        <v>-35.078539999999997</v>
      </c>
      <c r="C223">
        <v>138.49587</v>
      </c>
      <c r="D223" s="2">
        <v>45941</v>
      </c>
      <c r="H223" s="4"/>
      <c r="I223">
        <v>1242</v>
      </c>
      <c r="J223">
        <v>1127</v>
      </c>
      <c r="L223">
        <v>0.72899999999999998</v>
      </c>
      <c r="O223">
        <v>77</v>
      </c>
      <c r="P223">
        <v>1392</v>
      </c>
      <c r="Q223" t="s">
        <v>78</v>
      </c>
    </row>
    <row r="224" spans="1:17" x14ac:dyDescent="0.3">
      <c r="A224" t="s">
        <v>235</v>
      </c>
      <c r="B224">
        <v>-34.837600000000002</v>
      </c>
      <c r="C224">
        <v>138.47788</v>
      </c>
      <c r="D224" s="2">
        <v>45941</v>
      </c>
      <c r="H224" s="4"/>
      <c r="I224">
        <v>768</v>
      </c>
      <c r="J224">
        <v>680</v>
      </c>
      <c r="L224">
        <v>202</v>
      </c>
      <c r="O224">
        <v>96</v>
      </c>
      <c r="P224">
        <v>1066</v>
      </c>
      <c r="Q224" t="s">
        <v>78</v>
      </c>
    </row>
    <row r="225" spans="1:17" x14ac:dyDescent="0.3">
      <c r="A225" t="s">
        <v>85</v>
      </c>
      <c r="B225">
        <v>-34.873939999999997</v>
      </c>
      <c r="C225">
        <v>138.48820000000001</v>
      </c>
      <c r="D225" s="2">
        <v>45941</v>
      </c>
      <c r="H225" s="4"/>
      <c r="I225">
        <v>1265</v>
      </c>
      <c r="J225">
        <v>1170</v>
      </c>
      <c r="L225">
        <v>285</v>
      </c>
      <c r="O225">
        <v>100</v>
      </c>
      <c r="P225">
        <v>1650</v>
      </c>
      <c r="Q225" t="s">
        <v>78</v>
      </c>
    </row>
    <row r="226" spans="1:17" x14ac:dyDescent="0.3">
      <c r="A226" t="s">
        <v>142</v>
      </c>
      <c r="B226" s="5">
        <v>-34.876918449999998</v>
      </c>
      <c r="C226" s="5">
        <v>138.47996235010001</v>
      </c>
      <c r="D226" s="2">
        <v>45941</v>
      </c>
      <c r="I226">
        <v>4800</v>
      </c>
      <c r="J226">
        <v>3700</v>
      </c>
      <c r="P226">
        <v>4800</v>
      </c>
      <c r="Q226" t="s">
        <v>143</v>
      </c>
    </row>
    <row r="227" spans="1:17" x14ac:dyDescent="0.3">
      <c r="A227" t="s">
        <v>59</v>
      </c>
      <c r="B227">
        <v>-35.084850000000003</v>
      </c>
      <c r="C227">
        <v>137.74889999999999</v>
      </c>
      <c r="D227" s="2">
        <v>45941</v>
      </c>
      <c r="F227">
        <v>0</v>
      </c>
      <c r="G227">
        <v>56</v>
      </c>
      <c r="H227">
        <v>0</v>
      </c>
      <c r="I227">
        <v>222</v>
      </c>
      <c r="J227">
        <v>0</v>
      </c>
      <c r="L227">
        <v>1444</v>
      </c>
      <c r="M227">
        <v>56</v>
      </c>
      <c r="N227">
        <v>3278</v>
      </c>
      <c r="P227">
        <v>5056</v>
      </c>
      <c r="Q227" t="s">
        <v>149</v>
      </c>
    </row>
    <row r="228" spans="1:17" x14ac:dyDescent="0.3">
      <c r="A228" t="s">
        <v>37</v>
      </c>
      <c r="B228">
        <v>-34.289369999999998</v>
      </c>
      <c r="C228">
        <v>138.01242999999999</v>
      </c>
      <c r="D228" s="2">
        <v>45942</v>
      </c>
      <c r="G228">
        <v>278</v>
      </c>
      <c r="H228">
        <v>56</v>
      </c>
      <c r="I228">
        <v>778</v>
      </c>
      <c r="J228">
        <v>556</v>
      </c>
      <c r="K228">
        <v>333</v>
      </c>
      <c r="L228">
        <v>1278</v>
      </c>
      <c r="M228">
        <v>111</v>
      </c>
      <c r="N228">
        <v>6</v>
      </c>
      <c r="P228">
        <v>3444</v>
      </c>
      <c r="Q228" t="s">
        <v>76</v>
      </c>
    </row>
    <row r="229" spans="1:17" x14ac:dyDescent="0.3">
      <c r="A229" t="s">
        <v>147</v>
      </c>
      <c r="B229" s="5">
        <v>-34.82035218</v>
      </c>
      <c r="C229" s="5">
        <v>138.51019083</v>
      </c>
      <c r="D229" s="2">
        <v>45942</v>
      </c>
      <c r="I229">
        <v>4300</v>
      </c>
      <c r="J229">
        <v>0</v>
      </c>
      <c r="P229">
        <v>4300</v>
      </c>
      <c r="Q229" t="s">
        <v>143</v>
      </c>
    </row>
    <row r="230" spans="1:17" x14ac:dyDescent="0.3">
      <c r="A230" s="7" t="s">
        <v>168</v>
      </c>
      <c r="B230" s="7">
        <v>-35.641369099999999</v>
      </c>
      <c r="C230" s="7">
        <v>137.6389906</v>
      </c>
      <c r="D230" s="8">
        <v>45945</v>
      </c>
      <c r="E230" s="21"/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150</v>
      </c>
      <c r="M230" s="7">
        <v>0</v>
      </c>
      <c r="N230" s="7">
        <v>0</v>
      </c>
      <c r="O230" s="7">
        <v>0</v>
      </c>
      <c r="P230" s="7">
        <v>150</v>
      </c>
      <c r="Q230" s="7" t="s">
        <v>151</v>
      </c>
    </row>
    <row r="231" spans="1:17" x14ac:dyDescent="0.3">
      <c r="A231" t="s">
        <v>79</v>
      </c>
      <c r="B231">
        <v>-34.804169999999999</v>
      </c>
      <c r="C231">
        <v>138.53970000000001</v>
      </c>
      <c r="D231" s="2">
        <v>45947</v>
      </c>
      <c r="I231">
        <v>70</v>
      </c>
      <c r="J231">
        <v>61</v>
      </c>
      <c r="L231">
        <v>1</v>
      </c>
      <c r="O231">
        <v>4</v>
      </c>
      <c r="P231">
        <v>75</v>
      </c>
      <c r="Q231" t="s">
        <v>78</v>
      </c>
    </row>
    <row r="232" spans="1:17" x14ac:dyDescent="0.3">
      <c r="A232" t="s">
        <v>235</v>
      </c>
      <c r="B232">
        <v>-34.837600000000002</v>
      </c>
      <c r="C232">
        <v>138.47788</v>
      </c>
      <c r="D232" s="2">
        <v>45947</v>
      </c>
      <c r="I232">
        <v>848</v>
      </c>
      <c r="J232">
        <v>772</v>
      </c>
      <c r="L232">
        <v>48</v>
      </c>
      <c r="O232">
        <v>42</v>
      </c>
      <c r="P232">
        <v>938</v>
      </c>
      <c r="Q232" t="s">
        <v>78</v>
      </c>
    </row>
    <row r="233" spans="1:17" x14ac:dyDescent="0.3">
      <c r="A233" t="s">
        <v>85</v>
      </c>
      <c r="B233">
        <v>-34.873939999999997</v>
      </c>
      <c r="C233">
        <v>138.48820000000001</v>
      </c>
      <c r="D233" s="2">
        <v>45947</v>
      </c>
      <c r="I233">
        <v>312</v>
      </c>
      <c r="J233">
        <v>204</v>
      </c>
      <c r="L233">
        <v>190</v>
      </c>
      <c r="O233">
        <v>63</v>
      </c>
      <c r="P233">
        <v>565</v>
      </c>
      <c r="Q233" t="s">
        <v>78</v>
      </c>
    </row>
    <row r="234" spans="1:17" x14ac:dyDescent="0.3">
      <c r="A234" t="s">
        <v>59</v>
      </c>
      <c r="B234">
        <v>-35.084850000000003</v>
      </c>
      <c r="C234">
        <v>137.74889999999999</v>
      </c>
      <c r="D234" s="2">
        <v>45947</v>
      </c>
      <c r="J234">
        <v>0</v>
      </c>
      <c r="L234">
        <v>649</v>
      </c>
      <c r="P234">
        <v>649</v>
      </c>
      <c r="Q234" t="s">
        <v>149</v>
      </c>
    </row>
    <row r="235" spans="1:17" x14ac:dyDescent="0.3">
      <c r="A235" t="s">
        <v>156</v>
      </c>
      <c r="B235">
        <v>-35.638609789999997</v>
      </c>
      <c r="C235">
        <v>137.62514150000001</v>
      </c>
      <c r="D235" s="2">
        <v>45947</v>
      </c>
      <c r="G235">
        <v>389</v>
      </c>
      <c r="I235">
        <v>167</v>
      </c>
      <c r="J235">
        <v>0</v>
      </c>
      <c r="L235">
        <v>222</v>
      </c>
      <c r="N235">
        <v>1944</v>
      </c>
      <c r="O235">
        <v>1889</v>
      </c>
      <c r="P235">
        <v>4611</v>
      </c>
      <c r="Q235" t="s">
        <v>129</v>
      </c>
    </row>
    <row r="236" spans="1:17" x14ac:dyDescent="0.3">
      <c r="A236" t="s">
        <v>154</v>
      </c>
      <c r="B236">
        <v>-35.655576000000003</v>
      </c>
      <c r="C236">
        <v>137.641276</v>
      </c>
      <c r="D236" s="2">
        <v>45947</v>
      </c>
      <c r="I236">
        <v>111</v>
      </c>
      <c r="J236">
        <v>0</v>
      </c>
      <c r="L236">
        <v>111</v>
      </c>
      <c r="N236">
        <v>56</v>
      </c>
      <c r="O236">
        <v>1390</v>
      </c>
      <c r="P236">
        <v>1668</v>
      </c>
      <c r="Q236" t="s">
        <v>129</v>
      </c>
    </row>
    <row r="237" spans="1:17" x14ac:dyDescent="0.3">
      <c r="A237" t="s">
        <v>37</v>
      </c>
      <c r="B237">
        <v>-34.289369999999998</v>
      </c>
      <c r="C237">
        <v>138.01242999999999</v>
      </c>
      <c r="D237" s="2">
        <v>45948</v>
      </c>
      <c r="G237">
        <v>444</v>
      </c>
      <c r="H237">
        <v>444</v>
      </c>
      <c r="I237">
        <v>5500</v>
      </c>
      <c r="J237">
        <v>1833</v>
      </c>
      <c r="K237">
        <v>71677</v>
      </c>
      <c r="L237">
        <v>1444</v>
      </c>
      <c r="M237">
        <v>111</v>
      </c>
      <c r="O237">
        <v>222</v>
      </c>
      <c r="P237">
        <v>15333</v>
      </c>
      <c r="Q237" t="s">
        <v>76</v>
      </c>
    </row>
    <row r="238" spans="1:17" x14ac:dyDescent="0.3">
      <c r="A238" t="s">
        <v>141</v>
      </c>
      <c r="B238">
        <v>-35.786764689999998</v>
      </c>
      <c r="C238">
        <v>137.77344500000001</v>
      </c>
      <c r="D238" s="2">
        <v>45948</v>
      </c>
      <c r="I238">
        <v>111</v>
      </c>
      <c r="J238">
        <v>0</v>
      </c>
      <c r="L238">
        <v>1889</v>
      </c>
      <c r="O238">
        <v>1223</v>
      </c>
      <c r="P238">
        <v>3223</v>
      </c>
      <c r="Q238" t="s">
        <v>129</v>
      </c>
    </row>
    <row r="239" spans="1:17" x14ac:dyDescent="0.3">
      <c r="A239" t="s">
        <v>93</v>
      </c>
      <c r="B239">
        <v>-35.513599999999997</v>
      </c>
      <c r="C239">
        <v>138.72001900000001</v>
      </c>
      <c r="D239" s="2">
        <v>45948</v>
      </c>
      <c r="I239">
        <v>167</v>
      </c>
      <c r="J239">
        <v>56</v>
      </c>
      <c r="K239">
        <v>56</v>
      </c>
      <c r="L239">
        <v>1889</v>
      </c>
      <c r="O239">
        <v>3000</v>
      </c>
      <c r="P239">
        <v>5112</v>
      </c>
      <c r="Q239" t="s">
        <v>129</v>
      </c>
    </row>
    <row r="240" spans="1:17" x14ac:dyDescent="0.3">
      <c r="A240" t="s">
        <v>152</v>
      </c>
      <c r="B240">
        <v>-35.824725999999998</v>
      </c>
      <c r="C240">
        <v>137.75102200000001</v>
      </c>
      <c r="D240" s="2">
        <v>45949</v>
      </c>
      <c r="I240">
        <v>56</v>
      </c>
      <c r="J240">
        <v>0</v>
      </c>
      <c r="L240">
        <v>111</v>
      </c>
      <c r="N240">
        <v>333</v>
      </c>
      <c r="O240">
        <v>889</v>
      </c>
      <c r="P240">
        <v>1389</v>
      </c>
      <c r="Q240" t="s">
        <v>129</v>
      </c>
    </row>
    <row r="241" spans="1:17" x14ac:dyDescent="0.3">
      <c r="A241" t="s">
        <v>142</v>
      </c>
      <c r="B241" s="5">
        <v>-34.876918449999998</v>
      </c>
      <c r="C241" s="5">
        <v>138.47996235010001</v>
      </c>
      <c r="D241" s="2">
        <v>45950</v>
      </c>
      <c r="I241">
        <v>90000</v>
      </c>
      <c r="J241">
        <v>74200</v>
      </c>
      <c r="P241">
        <v>90000</v>
      </c>
      <c r="Q241" t="s">
        <v>143</v>
      </c>
    </row>
    <row r="242" spans="1:17" x14ac:dyDescent="0.3">
      <c r="A242" t="s">
        <v>145</v>
      </c>
      <c r="B242" s="5">
        <v>-34.874911619999999</v>
      </c>
      <c r="C242" s="5">
        <v>138.4853214</v>
      </c>
      <c r="D242" s="2">
        <v>45950</v>
      </c>
      <c r="I242">
        <v>3300</v>
      </c>
      <c r="J242">
        <v>1300</v>
      </c>
      <c r="P242">
        <v>3300</v>
      </c>
      <c r="Q242" t="s">
        <v>143</v>
      </c>
    </row>
    <row r="243" spans="1:17" x14ac:dyDescent="0.3">
      <c r="A243" t="s">
        <v>146</v>
      </c>
      <c r="B243" s="5">
        <v>-34.893833659999999</v>
      </c>
      <c r="C243" s="5">
        <v>138.49006890999999</v>
      </c>
      <c r="D243" s="2">
        <v>45950</v>
      </c>
      <c r="I243">
        <v>18300</v>
      </c>
      <c r="J243">
        <v>18000</v>
      </c>
      <c r="P243">
        <v>18300</v>
      </c>
      <c r="Q243" t="s">
        <v>143</v>
      </c>
    </row>
    <row r="244" spans="1:17" x14ac:dyDescent="0.3">
      <c r="A244" t="s">
        <v>142</v>
      </c>
      <c r="B244" s="5">
        <v>-34.876918449999998</v>
      </c>
      <c r="C244" s="5">
        <v>138.47996235010001</v>
      </c>
      <c r="D244" s="2">
        <v>45952</v>
      </c>
      <c r="I244">
        <v>22700</v>
      </c>
      <c r="J244">
        <v>19000</v>
      </c>
      <c r="P244">
        <v>22700</v>
      </c>
      <c r="Q244" t="s">
        <v>143</v>
      </c>
    </row>
    <row r="245" spans="1:17" x14ac:dyDescent="0.3">
      <c r="A245" t="s">
        <v>148</v>
      </c>
      <c r="B245" s="5">
        <v>-34.938314079999998</v>
      </c>
      <c r="C245" s="5">
        <v>138.49654913000001</v>
      </c>
      <c r="D245" s="2">
        <v>45952</v>
      </c>
      <c r="I245">
        <v>7300</v>
      </c>
      <c r="J245">
        <v>3300</v>
      </c>
      <c r="P245">
        <v>7300</v>
      </c>
      <c r="Q245" t="s">
        <v>143</v>
      </c>
    </row>
    <row r="246" spans="1:17" x14ac:dyDescent="0.3">
      <c r="A246" t="s">
        <v>163</v>
      </c>
      <c r="B246">
        <v>-35.411457800000001</v>
      </c>
      <c r="C246">
        <v>138.3276611</v>
      </c>
      <c r="D246" s="2">
        <v>45952</v>
      </c>
      <c r="G246">
        <v>278</v>
      </c>
      <c r="I246">
        <v>667</v>
      </c>
      <c r="J246">
        <v>389</v>
      </c>
      <c r="L246">
        <v>1500</v>
      </c>
      <c r="N246">
        <v>1556</v>
      </c>
      <c r="O246">
        <v>2833</v>
      </c>
      <c r="P246">
        <v>6834</v>
      </c>
      <c r="Q246" t="s">
        <v>129</v>
      </c>
    </row>
    <row r="247" spans="1:17" x14ac:dyDescent="0.3">
      <c r="A247" t="s">
        <v>164</v>
      </c>
      <c r="B247">
        <v>-35.411457800000001</v>
      </c>
      <c r="C247">
        <v>138.3276611</v>
      </c>
      <c r="D247" s="2">
        <v>45952</v>
      </c>
      <c r="J247">
        <v>0</v>
      </c>
      <c r="L247">
        <v>444</v>
      </c>
      <c r="N247">
        <v>111</v>
      </c>
      <c r="O247">
        <v>722</v>
      </c>
      <c r="P247">
        <v>1277</v>
      </c>
      <c r="Q247" t="s">
        <v>129</v>
      </c>
    </row>
    <row r="248" spans="1:17" x14ac:dyDescent="0.3">
      <c r="A248" t="s">
        <v>59</v>
      </c>
      <c r="B248">
        <v>-35.084850000000003</v>
      </c>
      <c r="C248">
        <v>137.74889999999999</v>
      </c>
      <c r="D248" s="2">
        <v>45953</v>
      </c>
      <c r="G248">
        <v>56</v>
      </c>
      <c r="H248">
        <v>56</v>
      </c>
      <c r="J248">
        <v>0</v>
      </c>
      <c r="L248">
        <v>444</v>
      </c>
      <c r="P248">
        <v>556</v>
      </c>
      <c r="Q248" t="s">
        <v>149</v>
      </c>
    </row>
    <row r="249" spans="1:17" x14ac:dyDescent="0.3">
      <c r="A249" s="7" t="s">
        <v>167</v>
      </c>
      <c r="B249" s="7">
        <v>-35.638350600000003</v>
      </c>
      <c r="C249" s="7">
        <v>137.62503709999999</v>
      </c>
      <c r="D249" s="8">
        <v>45953</v>
      </c>
      <c r="E249" s="21"/>
      <c r="F249" s="7"/>
      <c r="G249" s="7"/>
      <c r="H249" s="7"/>
      <c r="I249" s="7"/>
      <c r="J249" s="7">
        <v>0</v>
      </c>
      <c r="K249" s="7"/>
      <c r="L249" s="7">
        <v>1278</v>
      </c>
      <c r="M249" s="7"/>
      <c r="N249" s="7"/>
      <c r="O249" s="7"/>
      <c r="P249" s="7">
        <v>1278</v>
      </c>
      <c r="Q249" s="7" t="s">
        <v>151</v>
      </c>
    </row>
    <row r="250" spans="1:17" x14ac:dyDescent="0.3">
      <c r="A250" t="s">
        <v>142</v>
      </c>
      <c r="B250" s="5">
        <v>-34.876918449999998</v>
      </c>
      <c r="C250" s="5">
        <v>138.47996235010001</v>
      </c>
      <c r="D250" s="2">
        <v>45954</v>
      </c>
      <c r="I250">
        <v>14700</v>
      </c>
      <c r="J250">
        <v>13000</v>
      </c>
      <c r="P250">
        <v>14700</v>
      </c>
      <c r="Q250" t="s">
        <v>143</v>
      </c>
    </row>
    <row r="251" spans="1:17" x14ac:dyDescent="0.3">
      <c r="A251" t="s">
        <v>177</v>
      </c>
      <c r="B251">
        <v>-35.606180799999997</v>
      </c>
      <c r="C251">
        <v>138.09413620000001</v>
      </c>
      <c r="D251" s="2">
        <v>45954</v>
      </c>
      <c r="H251">
        <v>56</v>
      </c>
      <c r="J251">
        <v>0</v>
      </c>
      <c r="L251">
        <v>56</v>
      </c>
      <c r="N251">
        <v>833</v>
      </c>
      <c r="O251">
        <v>667</v>
      </c>
      <c r="P251">
        <v>1612</v>
      </c>
      <c r="Q251" t="s">
        <v>129</v>
      </c>
    </row>
    <row r="252" spans="1:17" x14ac:dyDescent="0.3">
      <c r="A252" t="s">
        <v>37</v>
      </c>
      <c r="B252">
        <v>-34.289369999999998</v>
      </c>
      <c r="C252">
        <v>138.01242999999999</v>
      </c>
      <c r="D252" s="2">
        <v>45955</v>
      </c>
      <c r="G252">
        <v>56</v>
      </c>
      <c r="H252">
        <v>278</v>
      </c>
      <c r="I252">
        <v>1500</v>
      </c>
      <c r="J252">
        <v>611</v>
      </c>
      <c r="K252">
        <v>3556</v>
      </c>
      <c r="L252">
        <v>1222</v>
      </c>
      <c r="M252">
        <v>111</v>
      </c>
      <c r="N252">
        <v>222</v>
      </c>
      <c r="O252">
        <v>56</v>
      </c>
      <c r="P252">
        <v>7000</v>
      </c>
      <c r="Q252" t="s">
        <v>76</v>
      </c>
    </row>
    <row r="253" spans="1:17" x14ac:dyDescent="0.3">
      <c r="A253" t="s">
        <v>142</v>
      </c>
      <c r="B253" s="5">
        <v>-34.876918449999998</v>
      </c>
      <c r="C253" s="5">
        <v>138.47996235010001</v>
      </c>
      <c r="D253" s="2">
        <v>45955</v>
      </c>
      <c r="I253">
        <v>22000</v>
      </c>
      <c r="J253">
        <v>17400</v>
      </c>
      <c r="P253">
        <v>22000</v>
      </c>
      <c r="Q253" t="s">
        <v>143</v>
      </c>
    </row>
    <row r="254" spans="1:17" x14ac:dyDescent="0.3">
      <c r="A254" t="s">
        <v>150</v>
      </c>
      <c r="B254">
        <v>-35.799281999999998</v>
      </c>
      <c r="C254">
        <v>137.83188699999999</v>
      </c>
      <c r="D254" s="2">
        <v>45955</v>
      </c>
      <c r="J254">
        <v>0</v>
      </c>
      <c r="L254">
        <v>111</v>
      </c>
      <c r="P254">
        <v>111</v>
      </c>
      <c r="Q254" t="s">
        <v>151</v>
      </c>
    </row>
    <row r="255" spans="1:17" x14ac:dyDescent="0.3">
      <c r="A255" t="s">
        <v>38</v>
      </c>
      <c r="B255">
        <v>-34.507817000000003</v>
      </c>
      <c r="C255">
        <v>138.274338</v>
      </c>
      <c r="D255" s="2">
        <v>45959</v>
      </c>
      <c r="G255">
        <v>417</v>
      </c>
      <c r="H255">
        <v>83</v>
      </c>
      <c r="I255">
        <v>472</v>
      </c>
      <c r="J255">
        <v>167</v>
      </c>
      <c r="K255">
        <v>278</v>
      </c>
      <c r="L255">
        <v>639</v>
      </c>
      <c r="M255">
        <v>111</v>
      </c>
      <c r="N255">
        <v>500</v>
      </c>
      <c r="O255">
        <v>56</v>
      </c>
      <c r="P255">
        <v>2556</v>
      </c>
      <c r="Q255" t="s">
        <v>76</v>
      </c>
    </row>
    <row r="256" spans="1:17" x14ac:dyDescent="0.3">
      <c r="A256" t="s">
        <v>165</v>
      </c>
      <c r="B256">
        <v>-35.575156999999997</v>
      </c>
      <c r="C256">
        <v>138.64386999999999</v>
      </c>
      <c r="D256" s="2">
        <v>45959</v>
      </c>
      <c r="I256">
        <v>111</v>
      </c>
      <c r="J256">
        <v>0</v>
      </c>
      <c r="L256">
        <v>111</v>
      </c>
      <c r="N256">
        <v>167</v>
      </c>
      <c r="O256">
        <v>833</v>
      </c>
      <c r="P256">
        <v>1222</v>
      </c>
      <c r="Q256" t="s">
        <v>129</v>
      </c>
    </row>
    <row r="257" spans="1:17" x14ac:dyDescent="0.3">
      <c r="A257" t="s">
        <v>88</v>
      </c>
      <c r="B257">
        <v>-35.581124000000003</v>
      </c>
      <c r="C257">
        <v>138.60879700000001</v>
      </c>
      <c r="D257" s="2">
        <v>45959</v>
      </c>
      <c r="I257">
        <v>111</v>
      </c>
      <c r="J257">
        <v>0</v>
      </c>
      <c r="L257">
        <v>56</v>
      </c>
      <c r="N257">
        <v>222</v>
      </c>
      <c r="O257">
        <v>56</v>
      </c>
      <c r="P257">
        <v>445</v>
      </c>
      <c r="Q257" t="s">
        <v>129</v>
      </c>
    </row>
    <row r="258" spans="1:17" x14ac:dyDescent="0.3">
      <c r="A258" s="7" t="s">
        <v>166</v>
      </c>
      <c r="B258" s="7">
        <v>-35.590392000000001</v>
      </c>
      <c r="C258" s="7">
        <v>137.50644700000001</v>
      </c>
      <c r="D258" s="8">
        <v>45959</v>
      </c>
      <c r="E258" s="21"/>
      <c r="F258" s="7"/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 t="s">
        <v>151</v>
      </c>
    </row>
    <row r="259" spans="1:17" x14ac:dyDescent="0.3">
      <c r="A259" t="s">
        <v>89</v>
      </c>
      <c r="B259">
        <v>-35.6048446</v>
      </c>
      <c r="C259">
        <v>138.59278499999999</v>
      </c>
      <c r="D259" s="2">
        <v>45959</v>
      </c>
      <c r="J259">
        <v>56</v>
      </c>
      <c r="N259">
        <v>111</v>
      </c>
      <c r="O259">
        <v>6278</v>
      </c>
      <c r="P259">
        <v>6389</v>
      </c>
      <c r="Q259" t="s">
        <v>129</v>
      </c>
    </row>
    <row r="260" spans="1:17" x14ac:dyDescent="0.3">
      <c r="A260" t="s">
        <v>174</v>
      </c>
      <c r="B260">
        <v>-35.612285999999997</v>
      </c>
      <c r="C260">
        <v>138.564302</v>
      </c>
      <c r="D260" s="2">
        <v>45959</v>
      </c>
      <c r="H260">
        <v>56</v>
      </c>
      <c r="I260">
        <v>56</v>
      </c>
      <c r="J260">
        <v>0</v>
      </c>
      <c r="L260">
        <v>56</v>
      </c>
      <c r="N260">
        <v>333</v>
      </c>
      <c r="O260">
        <v>500</v>
      </c>
      <c r="P260">
        <v>1001</v>
      </c>
      <c r="Q260" t="s">
        <v>129</v>
      </c>
    </row>
    <row r="261" spans="1:17" x14ac:dyDescent="0.3">
      <c r="A261" t="s">
        <v>175</v>
      </c>
      <c r="B261">
        <v>-35.624799000000003</v>
      </c>
      <c r="C261">
        <v>138.57790199999999</v>
      </c>
      <c r="D261" s="2">
        <v>45959</v>
      </c>
      <c r="J261">
        <v>0</v>
      </c>
      <c r="N261">
        <v>111</v>
      </c>
      <c r="O261">
        <v>556</v>
      </c>
      <c r="P261">
        <v>667</v>
      </c>
      <c r="Q261" t="s">
        <v>129</v>
      </c>
    </row>
    <row r="262" spans="1:17" x14ac:dyDescent="0.3">
      <c r="A262" t="s">
        <v>59</v>
      </c>
      <c r="B262">
        <v>-35.084850000000003</v>
      </c>
      <c r="C262">
        <v>137.74889999999999</v>
      </c>
      <c r="D262" s="2">
        <v>45960</v>
      </c>
      <c r="G262">
        <v>56</v>
      </c>
      <c r="I262">
        <v>56</v>
      </c>
      <c r="J262">
        <v>0</v>
      </c>
      <c r="L262">
        <v>306</v>
      </c>
      <c r="N262">
        <v>1889</v>
      </c>
      <c r="P262">
        <v>2307</v>
      </c>
      <c r="Q262" t="s">
        <v>149</v>
      </c>
    </row>
    <row r="263" spans="1:17" x14ac:dyDescent="0.3">
      <c r="A263" t="s">
        <v>37</v>
      </c>
      <c r="B263">
        <v>-34.289369999999998</v>
      </c>
      <c r="C263">
        <v>138.01242999999999</v>
      </c>
      <c r="D263" s="2">
        <v>45961</v>
      </c>
      <c r="F263">
        <v>56</v>
      </c>
      <c r="G263">
        <v>56</v>
      </c>
      <c r="H263">
        <v>500</v>
      </c>
      <c r="I263">
        <v>1722</v>
      </c>
      <c r="J263">
        <v>500</v>
      </c>
      <c r="K263">
        <v>14667</v>
      </c>
      <c r="L263">
        <v>2778</v>
      </c>
      <c r="M263">
        <v>167</v>
      </c>
      <c r="O263">
        <v>111</v>
      </c>
      <c r="P263">
        <v>20056</v>
      </c>
      <c r="Q263" t="s">
        <v>76</v>
      </c>
    </row>
    <row r="264" spans="1:17" x14ac:dyDescent="0.3">
      <c r="A264" s="7" t="s">
        <v>169</v>
      </c>
      <c r="B264" s="7">
        <v>-35.787501300000002</v>
      </c>
      <c r="C264" s="7">
        <v>137.77240839999999</v>
      </c>
      <c r="D264" s="2">
        <v>45962</v>
      </c>
      <c r="F264" s="7"/>
      <c r="G264" s="7">
        <v>0</v>
      </c>
      <c r="H264" s="7">
        <v>0</v>
      </c>
      <c r="I264" s="7">
        <v>0</v>
      </c>
      <c r="J264" s="7">
        <v>0</v>
      </c>
      <c r="K264" s="7"/>
      <c r="L264" s="7">
        <v>361</v>
      </c>
      <c r="M264" s="7">
        <v>0</v>
      </c>
      <c r="N264" s="7">
        <v>0</v>
      </c>
      <c r="O264" s="7">
        <v>0</v>
      </c>
      <c r="P264" s="7">
        <v>361</v>
      </c>
      <c r="Q264" s="7" t="s">
        <v>151</v>
      </c>
    </row>
    <row r="265" spans="1:17" x14ac:dyDescent="0.3">
      <c r="A265" s="7" t="s">
        <v>171</v>
      </c>
      <c r="B265" s="7">
        <v>-35.799281999999998</v>
      </c>
      <c r="C265" s="7">
        <v>137.83188699999999</v>
      </c>
      <c r="D265" s="2">
        <v>45962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 t="s">
        <v>151</v>
      </c>
    </row>
    <row r="266" spans="1:17" x14ac:dyDescent="0.3">
      <c r="A266" s="7" t="s">
        <v>172</v>
      </c>
      <c r="B266" s="7">
        <v>-35.791484199999999</v>
      </c>
      <c r="C266" s="7">
        <v>137.85743299999999</v>
      </c>
      <c r="D266" s="2">
        <v>45962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 t="s">
        <v>151</v>
      </c>
    </row>
    <row r="267" spans="1:17" x14ac:dyDescent="0.3">
      <c r="A267" s="7" t="s">
        <v>170</v>
      </c>
      <c r="B267" s="7">
        <v>-35.787857600000002</v>
      </c>
      <c r="C267" s="7">
        <v>137.76991989999999</v>
      </c>
      <c r="D267" s="2">
        <v>45964</v>
      </c>
      <c r="F267" s="7"/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6772</v>
      </c>
      <c r="M267" s="7">
        <v>0</v>
      </c>
      <c r="N267" s="7">
        <v>0</v>
      </c>
      <c r="O267" s="7">
        <v>1</v>
      </c>
      <c r="P267" s="7">
        <v>6772</v>
      </c>
      <c r="Q267" s="7" t="s">
        <v>151</v>
      </c>
    </row>
    <row r="268" spans="1:17" x14ac:dyDescent="0.3">
      <c r="A268" s="7" t="s">
        <v>173</v>
      </c>
      <c r="B268" s="7">
        <v>-35.736241</v>
      </c>
      <c r="C268" s="7">
        <v>137.64868340000001</v>
      </c>
      <c r="D268" s="2">
        <v>45964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 t="s">
        <v>151</v>
      </c>
    </row>
    <row r="269" spans="1:17" x14ac:dyDescent="0.3">
      <c r="A269" t="s">
        <v>178</v>
      </c>
      <c r="B269">
        <v>-35.082030000000003</v>
      </c>
      <c r="C269">
        <v>137.7484</v>
      </c>
      <c r="D269" s="2">
        <v>45966</v>
      </c>
      <c r="F269">
        <v>0</v>
      </c>
      <c r="G269">
        <v>0</v>
      </c>
      <c r="H269">
        <v>139</v>
      </c>
      <c r="I269">
        <v>28</v>
      </c>
      <c r="J269">
        <v>0</v>
      </c>
      <c r="K269">
        <v>56</v>
      </c>
      <c r="L269">
        <v>84</v>
      </c>
      <c r="N269">
        <v>6778</v>
      </c>
      <c r="P269">
        <v>7085</v>
      </c>
      <c r="Q269" t="s">
        <v>149</v>
      </c>
    </row>
    <row r="270" spans="1:17" x14ac:dyDescent="0.3">
      <c r="A270" t="s">
        <v>37</v>
      </c>
      <c r="B270">
        <v>-34.289369999999998</v>
      </c>
      <c r="C270">
        <v>138.01242999999999</v>
      </c>
      <c r="D270" s="2">
        <v>45968</v>
      </c>
      <c r="G270">
        <v>56</v>
      </c>
      <c r="H270">
        <v>278</v>
      </c>
      <c r="I270">
        <v>611</v>
      </c>
      <c r="J270">
        <v>389</v>
      </c>
      <c r="K270">
        <v>667</v>
      </c>
      <c r="L270">
        <v>1778</v>
      </c>
      <c r="M270">
        <v>111</v>
      </c>
      <c r="N270">
        <v>833</v>
      </c>
      <c r="O270">
        <v>111</v>
      </c>
      <c r="P270">
        <v>4444</v>
      </c>
      <c r="Q270" t="s">
        <v>76</v>
      </c>
    </row>
    <row r="271" spans="1:17" x14ac:dyDescent="0.3">
      <c r="A271" t="s">
        <v>180</v>
      </c>
      <c r="B271">
        <v>-35.563558</v>
      </c>
      <c r="C271">
        <v>138.61283299999999</v>
      </c>
      <c r="D271" s="2">
        <v>45970</v>
      </c>
      <c r="H271">
        <v>56</v>
      </c>
      <c r="I271">
        <v>333</v>
      </c>
      <c r="J271">
        <v>222</v>
      </c>
      <c r="K271">
        <v>56</v>
      </c>
      <c r="L271">
        <v>389</v>
      </c>
      <c r="N271">
        <v>167</v>
      </c>
      <c r="O271">
        <v>722</v>
      </c>
      <c r="P271">
        <v>1723</v>
      </c>
      <c r="Q271" t="s">
        <v>129</v>
      </c>
    </row>
    <row r="272" spans="1:17" x14ac:dyDescent="0.3">
      <c r="A272" t="s">
        <v>181</v>
      </c>
      <c r="B272">
        <v>-35.135489999999997</v>
      </c>
      <c r="C272">
        <v>137.7167</v>
      </c>
      <c r="D272" s="2">
        <v>45970</v>
      </c>
      <c r="F272">
        <v>0</v>
      </c>
      <c r="G272">
        <v>0</v>
      </c>
      <c r="H272">
        <v>0</v>
      </c>
      <c r="I272">
        <v>84</v>
      </c>
      <c r="J272">
        <v>0</v>
      </c>
      <c r="L272">
        <v>1000</v>
      </c>
      <c r="N272">
        <v>7778</v>
      </c>
      <c r="O272">
        <v>84</v>
      </c>
      <c r="P272">
        <v>8946</v>
      </c>
      <c r="Q272" t="s">
        <v>149</v>
      </c>
    </row>
    <row r="273" spans="1:17" x14ac:dyDescent="0.3">
      <c r="A273" t="s">
        <v>79</v>
      </c>
      <c r="B273">
        <v>-34.804169999999999</v>
      </c>
      <c r="C273">
        <v>138.53970000000001</v>
      </c>
      <c r="D273" s="2">
        <v>45971</v>
      </c>
      <c r="E273" s="20">
        <v>0.45833333333333331</v>
      </c>
      <c r="I273">
        <v>3</v>
      </c>
      <c r="J273">
        <v>0</v>
      </c>
      <c r="L273">
        <v>42</v>
      </c>
      <c r="O273">
        <v>6</v>
      </c>
      <c r="P273">
        <v>51</v>
      </c>
      <c r="Q273" t="s">
        <v>78</v>
      </c>
    </row>
    <row r="274" spans="1:17" x14ac:dyDescent="0.3">
      <c r="A274" t="s">
        <v>235</v>
      </c>
      <c r="B274">
        <v>-34.837600000000002</v>
      </c>
      <c r="C274">
        <v>138.47788</v>
      </c>
      <c r="D274" s="2">
        <v>45971</v>
      </c>
      <c r="E274" s="20">
        <v>0.4548611111111111</v>
      </c>
      <c r="I274">
        <v>2.5</v>
      </c>
      <c r="J274">
        <v>2.5</v>
      </c>
      <c r="L274">
        <v>180</v>
      </c>
      <c r="O274">
        <v>12.5</v>
      </c>
      <c r="P274">
        <v>195</v>
      </c>
      <c r="Q274" t="s">
        <v>78</v>
      </c>
    </row>
    <row r="275" spans="1:17" x14ac:dyDescent="0.3">
      <c r="A275" t="s">
        <v>85</v>
      </c>
      <c r="B275">
        <v>-34.873939999999997</v>
      </c>
      <c r="C275">
        <v>138.48820000000001</v>
      </c>
      <c r="D275" s="2">
        <v>45971</v>
      </c>
      <c r="E275" s="20">
        <v>0.44791666666666669</v>
      </c>
      <c r="I275">
        <v>8</v>
      </c>
      <c r="J275">
        <v>0</v>
      </c>
      <c r="L275">
        <v>18.75</v>
      </c>
      <c r="O275">
        <v>16.25</v>
      </c>
      <c r="P275">
        <v>43.125</v>
      </c>
      <c r="Q275" t="s">
        <v>78</v>
      </c>
    </row>
    <row r="276" spans="1:17" x14ac:dyDescent="0.3">
      <c r="A276" t="s">
        <v>179</v>
      </c>
      <c r="B276">
        <v>-35.078539999999997</v>
      </c>
      <c r="C276">
        <v>138.49587</v>
      </c>
      <c r="D276" s="2">
        <v>45971</v>
      </c>
      <c r="E276" s="20">
        <v>0.40972222222222221</v>
      </c>
      <c r="I276">
        <v>17</v>
      </c>
      <c r="J276">
        <v>10</v>
      </c>
      <c r="L276">
        <v>155</v>
      </c>
      <c r="O276">
        <v>0</v>
      </c>
      <c r="P276">
        <v>172</v>
      </c>
      <c r="Q276" t="s">
        <v>78</v>
      </c>
    </row>
    <row r="277" spans="1:17" x14ac:dyDescent="0.3">
      <c r="A277" t="s">
        <v>121</v>
      </c>
      <c r="B277">
        <v>-35.570839499999998</v>
      </c>
      <c r="C277">
        <v>138.60133999999999</v>
      </c>
      <c r="D277" s="2">
        <v>45972</v>
      </c>
      <c r="H277">
        <v>222</v>
      </c>
      <c r="J277">
        <v>0</v>
      </c>
      <c r="L277">
        <v>167</v>
      </c>
      <c r="N277">
        <v>111</v>
      </c>
      <c r="O277">
        <v>500</v>
      </c>
      <c r="P277">
        <v>1000</v>
      </c>
      <c r="Q277" t="s">
        <v>129</v>
      </c>
    </row>
    <row r="278" spans="1:17" x14ac:dyDescent="0.3">
      <c r="A278" t="s">
        <v>92</v>
      </c>
      <c r="B278">
        <v>-35.634602000000001</v>
      </c>
      <c r="C278">
        <v>138.49898300000001</v>
      </c>
      <c r="D278" s="2">
        <v>45973</v>
      </c>
      <c r="J278">
        <v>278</v>
      </c>
      <c r="Q278" t="s">
        <v>186</v>
      </c>
    </row>
    <row r="279" spans="1:17" x14ac:dyDescent="0.3">
      <c r="A279" t="s">
        <v>94</v>
      </c>
      <c r="B279">
        <v>-35.58858</v>
      </c>
      <c r="C279">
        <v>138.60474600000001</v>
      </c>
      <c r="D279" s="2">
        <v>45974</v>
      </c>
      <c r="G279">
        <v>111</v>
      </c>
      <c r="I279">
        <v>167</v>
      </c>
      <c r="J279">
        <v>111</v>
      </c>
      <c r="N279">
        <v>111</v>
      </c>
      <c r="O279">
        <v>444</v>
      </c>
      <c r="P279">
        <v>833</v>
      </c>
      <c r="Q279" t="s">
        <v>129</v>
      </c>
    </row>
    <row r="280" spans="1:17" x14ac:dyDescent="0.3">
      <c r="A280" t="s">
        <v>185</v>
      </c>
      <c r="B280">
        <v>-35.538469999999997</v>
      </c>
      <c r="C280">
        <v>138.649779</v>
      </c>
      <c r="D280" s="2">
        <v>45974</v>
      </c>
      <c r="J280">
        <v>0</v>
      </c>
      <c r="Q280" t="s">
        <v>186</v>
      </c>
    </row>
    <row r="281" spans="1:17" x14ac:dyDescent="0.3">
      <c r="A281" t="s">
        <v>92</v>
      </c>
      <c r="B281">
        <v>-35.634602000000001</v>
      </c>
      <c r="C281">
        <v>138.49898300000001</v>
      </c>
      <c r="D281" s="2">
        <v>45976</v>
      </c>
      <c r="J281">
        <v>56</v>
      </c>
      <c r="Q281" t="s">
        <v>186</v>
      </c>
    </row>
    <row r="282" spans="1:17" x14ac:dyDescent="0.3">
      <c r="A282" t="s">
        <v>182</v>
      </c>
      <c r="B282">
        <v>-35.592570000000002</v>
      </c>
      <c r="C282">
        <v>137.53183000000001</v>
      </c>
      <c r="D282" s="2">
        <v>45977</v>
      </c>
      <c r="F282">
        <v>0</v>
      </c>
      <c r="G282">
        <v>0</v>
      </c>
      <c r="H282">
        <v>0</v>
      </c>
      <c r="I282">
        <v>62556</v>
      </c>
      <c r="J282">
        <v>62556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62556</v>
      </c>
      <c r="Q282" s="7" t="s">
        <v>151</v>
      </c>
    </row>
    <row r="283" spans="1:17" x14ac:dyDescent="0.3">
      <c r="A283" t="s">
        <v>183</v>
      </c>
      <c r="B283">
        <v>-35.592669999999998</v>
      </c>
      <c r="C283">
        <v>137.53183000000001</v>
      </c>
      <c r="D283" s="2">
        <v>45977</v>
      </c>
      <c r="F283">
        <v>0</v>
      </c>
      <c r="G283">
        <v>0</v>
      </c>
      <c r="H283">
        <v>0</v>
      </c>
      <c r="I283">
        <v>45667</v>
      </c>
      <c r="J283">
        <v>45667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45667</v>
      </c>
      <c r="Q283" s="7" t="s">
        <v>151</v>
      </c>
    </row>
    <row r="284" spans="1:17" x14ac:dyDescent="0.3">
      <c r="A284" t="s">
        <v>184</v>
      </c>
      <c r="B284">
        <v>-35.592770000000002</v>
      </c>
      <c r="C284">
        <v>137.53183000000001</v>
      </c>
      <c r="D284" s="2">
        <v>45977</v>
      </c>
      <c r="F284">
        <v>0</v>
      </c>
      <c r="G284">
        <v>0</v>
      </c>
      <c r="H284">
        <v>0</v>
      </c>
      <c r="I284">
        <v>23222</v>
      </c>
      <c r="J284">
        <v>23222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23222</v>
      </c>
      <c r="Q284" s="7" t="s">
        <v>151</v>
      </c>
    </row>
    <row r="285" spans="1:17" x14ac:dyDescent="0.3">
      <c r="A285" t="s">
        <v>79</v>
      </c>
      <c r="B285">
        <v>-34.804169999999999</v>
      </c>
      <c r="C285">
        <v>138.53970000000001</v>
      </c>
      <c r="D285" s="2">
        <v>45977</v>
      </c>
      <c r="E285" s="20">
        <v>0.5625</v>
      </c>
      <c r="I285">
        <v>52</v>
      </c>
      <c r="J285">
        <v>20</v>
      </c>
      <c r="L285">
        <v>22</v>
      </c>
      <c r="O285">
        <v>2</v>
      </c>
      <c r="P285">
        <v>98</v>
      </c>
      <c r="Q285" t="s">
        <v>78</v>
      </c>
    </row>
    <row r="286" spans="1:17" x14ac:dyDescent="0.3">
      <c r="A286" t="s">
        <v>235</v>
      </c>
      <c r="B286">
        <v>-34.837600000000002</v>
      </c>
      <c r="C286">
        <v>138.47788</v>
      </c>
      <c r="D286" s="2">
        <v>45977</v>
      </c>
      <c r="E286" s="20">
        <v>0.54166666666666663</v>
      </c>
      <c r="I286">
        <v>138</v>
      </c>
      <c r="J286">
        <v>20</v>
      </c>
      <c r="L286">
        <v>52</v>
      </c>
      <c r="O286">
        <v>30</v>
      </c>
      <c r="P286">
        <v>240</v>
      </c>
      <c r="Q286" t="s">
        <v>78</v>
      </c>
    </row>
    <row r="287" spans="1:17" x14ac:dyDescent="0.3">
      <c r="A287" t="s">
        <v>85</v>
      </c>
      <c r="B287">
        <v>-34.873939999999997</v>
      </c>
      <c r="C287">
        <v>138.48820000000001</v>
      </c>
      <c r="D287" s="2">
        <v>45977</v>
      </c>
      <c r="E287" s="20">
        <v>0.54166666666666663</v>
      </c>
      <c r="I287">
        <v>40</v>
      </c>
      <c r="J287">
        <v>6</v>
      </c>
      <c r="L287">
        <v>22</v>
      </c>
      <c r="O287">
        <v>70</v>
      </c>
      <c r="P287">
        <v>138</v>
      </c>
      <c r="Q287" t="s">
        <v>78</v>
      </c>
    </row>
    <row r="288" spans="1:17" x14ac:dyDescent="0.3">
      <c r="A288" t="s">
        <v>86</v>
      </c>
      <c r="B288">
        <v>-35.540277000000003</v>
      </c>
      <c r="C288">
        <v>138.66416599999999</v>
      </c>
      <c r="D288" s="2">
        <v>45977</v>
      </c>
      <c r="G288">
        <v>111</v>
      </c>
      <c r="J288">
        <v>0</v>
      </c>
      <c r="L288">
        <v>111</v>
      </c>
      <c r="N288">
        <v>111</v>
      </c>
      <c r="O288">
        <v>1111</v>
      </c>
      <c r="P288">
        <v>1444</v>
      </c>
      <c r="Q288" t="s">
        <v>129</v>
      </c>
    </row>
    <row r="289" spans="1:17" x14ac:dyDescent="0.3">
      <c r="A289" t="s">
        <v>100</v>
      </c>
      <c r="B289">
        <v>-35.536745000000003</v>
      </c>
      <c r="C289">
        <v>138.6913744</v>
      </c>
      <c r="D289" s="2">
        <v>45977</v>
      </c>
      <c r="G289">
        <v>167</v>
      </c>
      <c r="J289">
        <v>0</v>
      </c>
      <c r="K289">
        <v>56</v>
      </c>
      <c r="L289">
        <v>56</v>
      </c>
      <c r="N289">
        <v>222</v>
      </c>
      <c r="O289">
        <v>389</v>
      </c>
      <c r="P289">
        <v>890</v>
      </c>
      <c r="Q289" t="s">
        <v>129</v>
      </c>
    </row>
    <row r="290" spans="1:17" x14ac:dyDescent="0.3">
      <c r="A290" t="s">
        <v>87</v>
      </c>
      <c r="B290">
        <v>-35.573300000000003</v>
      </c>
      <c r="C290">
        <v>138.64250000000001</v>
      </c>
      <c r="D290" s="2">
        <v>45977</v>
      </c>
      <c r="G290">
        <v>28</v>
      </c>
      <c r="J290">
        <v>0</v>
      </c>
      <c r="N290">
        <v>56</v>
      </c>
      <c r="O290">
        <v>278</v>
      </c>
      <c r="P290">
        <v>362</v>
      </c>
      <c r="Q290" t="s">
        <v>129</v>
      </c>
    </row>
    <row r="291" spans="1:17" x14ac:dyDescent="0.3">
      <c r="A291" t="s">
        <v>88</v>
      </c>
      <c r="B291">
        <v>-35.581124000000003</v>
      </c>
      <c r="C291">
        <v>138.60879700000001</v>
      </c>
      <c r="D291" s="2">
        <v>45977</v>
      </c>
      <c r="J291">
        <v>0</v>
      </c>
      <c r="L291">
        <v>56</v>
      </c>
      <c r="O291">
        <v>167</v>
      </c>
      <c r="P291">
        <v>223</v>
      </c>
      <c r="Q291" t="s">
        <v>129</v>
      </c>
    </row>
    <row r="292" spans="1:17" x14ac:dyDescent="0.3">
      <c r="A292" t="s">
        <v>89</v>
      </c>
      <c r="B292">
        <v>-35.6048446</v>
      </c>
      <c r="C292">
        <v>138.59278499999999</v>
      </c>
      <c r="D292" s="2">
        <v>45977</v>
      </c>
      <c r="J292">
        <v>0</v>
      </c>
      <c r="P292">
        <v>0</v>
      </c>
      <c r="Q292" t="s">
        <v>129</v>
      </c>
    </row>
    <row r="293" spans="1:17" x14ac:dyDescent="0.3">
      <c r="A293" t="s">
        <v>174</v>
      </c>
      <c r="B293">
        <v>-35.612285999999997</v>
      </c>
      <c r="C293">
        <v>138.564302</v>
      </c>
      <c r="D293" s="2">
        <v>45977</v>
      </c>
      <c r="G293">
        <v>278</v>
      </c>
      <c r="I293">
        <v>111</v>
      </c>
      <c r="J293">
        <v>0</v>
      </c>
      <c r="L293">
        <v>56</v>
      </c>
      <c r="N293">
        <v>278</v>
      </c>
      <c r="O293">
        <v>722</v>
      </c>
      <c r="P293">
        <v>1445</v>
      </c>
      <c r="Q293" t="s">
        <v>129</v>
      </c>
    </row>
    <row r="294" spans="1:17" x14ac:dyDescent="0.3">
      <c r="A294" t="s">
        <v>91</v>
      </c>
      <c r="B294">
        <v>-35.536168000000004</v>
      </c>
      <c r="C294">
        <v>138.677615</v>
      </c>
      <c r="D294" s="2">
        <v>45978</v>
      </c>
      <c r="J294">
        <v>722</v>
      </c>
      <c r="Q294" t="s">
        <v>186</v>
      </c>
    </row>
    <row r="295" spans="1:17" x14ac:dyDescent="0.3">
      <c r="A295" t="s">
        <v>187</v>
      </c>
      <c r="B295">
        <v>-35.515810999999999</v>
      </c>
      <c r="C295">
        <v>138.705062</v>
      </c>
      <c r="D295" s="2">
        <v>45978</v>
      </c>
      <c r="J295">
        <v>0</v>
      </c>
      <c r="Q295" t="s">
        <v>186</v>
      </c>
    </row>
    <row r="296" spans="1:17" x14ac:dyDescent="0.3">
      <c r="A296" s="10" t="s">
        <v>198</v>
      </c>
      <c r="B296" s="10">
        <v>-35.5691281</v>
      </c>
      <c r="C296" s="10">
        <v>137.6093937</v>
      </c>
      <c r="D296" s="2">
        <v>45978</v>
      </c>
      <c r="F296" s="10">
        <v>0</v>
      </c>
      <c r="G296" s="10">
        <v>0</v>
      </c>
      <c r="H296" s="10">
        <v>0</v>
      </c>
      <c r="I296" s="10">
        <v>8778</v>
      </c>
      <c r="J296" s="10">
        <v>8778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8889</v>
      </c>
      <c r="Q296" s="10" t="s">
        <v>151</v>
      </c>
    </row>
    <row r="297" spans="1:17" x14ac:dyDescent="0.3">
      <c r="A297" s="10" t="s">
        <v>199</v>
      </c>
      <c r="B297" s="10">
        <v>-35.5691281</v>
      </c>
      <c r="C297" s="10">
        <v>137.6093937</v>
      </c>
      <c r="D297" s="2">
        <v>45978</v>
      </c>
      <c r="F297" s="10">
        <v>0</v>
      </c>
      <c r="G297" s="10">
        <v>0</v>
      </c>
      <c r="H297" s="10">
        <v>0</v>
      </c>
      <c r="I297" s="10">
        <v>10222</v>
      </c>
      <c r="J297" s="10">
        <v>10222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10222</v>
      </c>
      <c r="Q297" s="10" t="s">
        <v>151</v>
      </c>
    </row>
    <row r="298" spans="1:17" x14ac:dyDescent="0.3">
      <c r="A298" t="s">
        <v>59</v>
      </c>
      <c r="B298">
        <v>-35.084850000000003</v>
      </c>
      <c r="C298">
        <v>137.74889999999999</v>
      </c>
      <c r="D298" s="2">
        <v>45980</v>
      </c>
      <c r="F298">
        <v>0</v>
      </c>
      <c r="G298">
        <v>0</v>
      </c>
      <c r="H298">
        <v>0</v>
      </c>
      <c r="I298">
        <v>83</v>
      </c>
      <c r="J298">
        <v>0</v>
      </c>
      <c r="K298">
        <v>83</v>
      </c>
      <c r="L298">
        <v>167</v>
      </c>
      <c r="M298">
        <v>0</v>
      </c>
      <c r="N298">
        <v>2000</v>
      </c>
      <c r="P298">
        <v>2333</v>
      </c>
      <c r="Q298" t="s">
        <v>149</v>
      </c>
    </row>
    <row r="299" spans="1:17" x14ac:dyDescent="0.3">
      <c r="A299" t="s">
        <v>211</v>
      </c>
      <c r="B299">
        <v>-35.515507999999997</v>
      </c>
      <c r="C299">
        <v>138.729004</v>
      </c>
      <c r="D299" s="2">
        <v>45980</v>
      </c>
      <c r="J299">
        <v>667</v>
      </c>
      <c r="Q299" t="s">
        <v>186</v>
      </c>
    </row>
    <row r="300" spans="1:17" x14ac:dyDescent="0.3">
      <c r="A300" t="s">
        <v>187</v>
      </c>
      <c r="B300">
        <v>-35.515810999999999</v>
      </c>
      <c r="C300">
        <v>138.705062</v>
      </c>
      <c r="D300" s="2">
        <v>45980</v>
      </c>
      <c r="J300">
        <v>56</v>
      </c>
      <c r="Q300" t="s">
        <v>186</v>
      </c>
    </row>
    <row r="301" spans="1:17" x14ac:dyDescent="0.3">
      <c r="A301" t="s">
        <v>91</v>
      </c>
      <c r="B301">
        <v>-35.536168000000004</v>
      </c>
      <c r="C301">
        <v>138.677615</v>
      </c>
      <c r="D301" s="2">
        <v>45980</v>
      </c>
      <c r="J301">
        <v>444</v>
      </c>
      <c r="Q301" t="s">
        <v>186</v>
      </c>
    </row>
    <row r="302" spans="1:17" x14ac:dyDescent="0.3">
      <c r="A302" t="s">
        <v>185</v>
      </c>
      <c r="B302">
        <v>-35.538469999999997</v>
      </c>
      <c r="C302">
        <v>138.649779</v>
      </c>
      <c r="D302" s="2">
        <v>45980</v>
      </c>
      <c r="J302">
        <v>167</v>
      </c>
      <c r="Q302" t="s">
        <v>186</v>
      </c>
    </row>
    <row r="303" spans="1:17" x14ac:dyDescent="0.3">
      <c r="A303" t="s">
        <v>188</v>
      </c>
      <c r="B303">
        <v>-35.592393000000001</v>
      </c>
      <c r="C303">
        <v>138.599706</v>
      </c>
      <c r="D303" s="2">
        <v>45980</v>
      </c>
      <c r="J303">
        <v>111</v>
      </c>
      <c r="Q303" t="s">
        <v>186</v>
      </c>
    </row>
    <row r="304" spans="1:17" x14ac:dyDescent="0.3">
      <c r="A304" t="s">
        <v>92</v>
      </c>
      <c r="B304">
        <v>-35.634602000000001</v>
      </c>
      <c r="C304">
        <v>138.49898300000001</v>
      </c>
      <c r="D304" s="2">
        <v>45980</v>
      </c>
      <c r="J304">
        <v>667</v>
      </c>
      <c r="Q304" t="s">
        <v>186</v>
      </c>
    </row>
    <row r="305" spans="1:17" x14ac:dyDescent="0.3">
      <c r="A305" t="s">
        <v>189</v>
      </c>
      <c r="B305">
        <v>-35.638637000000003</v>
      </c>
      <c r="C305">
        <v>138.31366499999999</v>
      </c>
      <c r="D305" s="2">
        <v>45980</v>
      </c>
      <c r="J305">
        <v>1333</v>
      </c>
      <c r="Q305" t="s">
        <v>186</v>
      </c>
    </row>
    <row r="306" spans="1:17" x14ac:dyDescent="0.3">
      <c r="A306" t="s">
        <v>37</v>
      </c>
      <c r="B306">
        <v>-34.289369999999998</v>
      </c>
      <c r="C306">
        <v>138.01242999999999</v>
      </c>
      <c r="D306" s="2">
        <v>45981</v>
      </c>
      <c r="G306">
        <v>278</v>
      </c>
      <c r="H306">
        <v>722</v>
      </c>
      <c r="I306">
        <v>500</v>
      </c>
      <c r="J306">
        <v>111</v>
      </c>
      <c r="K306" s="6">
        <v>4556</v>
      </c>
      <c r="L306" s="6">
        <v>2278</v>
      </c>
      <c r="M306">
        <v>389</v>
      </c>
      <c r="N306">
        <v>389</v>
      </c>
      <c r="P306" s="6">
        <v>9111</v>
      </c>
      <c r="Q306" t="s">
        <v>76</v>
      </c>
    </row>
    <row r="307" spans="1:17" x14ac:dyDescent="0.3">
      <c r="A307" t="s">
        <v>191</v>
      </c>
      <c r="B307">
        <v>-34.933939000000002</v>
      </c>
      <c r="C307">
        <v>137.35227800000001</v>
      </c>
      <c r="D307" s="2">
        <v>45983</v>
      </c>
      <c r="E307" s="20">
        <v>0.63680555555555551</v>
      </c>
      <c r="I307">
        <v>0.45</v>
      </c>
      <c r="J307">
        <v>0</v>
      </c>
      <c r="L307">
        <v>1.4</v>
      </c>
      <c r="O307">
        <v>0.15</v>
      </c>
      <c r="P307">
        <v>1.9999999999999998</v>
      </c>
      <c r="Q307" t="s">
        <v>78</v>
      </c>
    </row>
    <row r="308" spans="1:17" x14ac:dyDescent="0.3">
      <c r="A308" t="s">
        <v>190</v>
      </c>
      <c r="B308">
        <v>-34.191187999999997</v>
      </c>
      <c r="C308">
        <v>138.144317</v>
      </c>
      <c r="D308" s="2">
        <v>45984</v>
      </c>
      <c r="E308" s="20">
        <v>0.39583333333333331</v>
      </c>
      <c r="I308">
        <v>0</v>
      </c>
      <c r="J308">
        <v>0</v>
      </c>
      <c r="L308">
        <v>9.3000000000000007</v>
      </c>
      <c r="O308">
        <v>0</v>
      </c>
      <c r="P308">
        <v>9.3000000000000007</v>
      </c>
      <c r="Q308" t="s">
        <v>78</v>
      </c>
    </row>
    <row r="309" spans="1:17" x14ac:dyDescent="0.3">
      <c r="A309" t="s">
        <v>192</v>
      </c>
      <c r="B309">
        <v>-34.606234999999998</v>
      </c>
      <c r="C309">
        <v>137.882094</v>
      </c>
      <c r="D309" s="2">
        <v>45984</v>
      </c>
      <c r="E309" s="20">
        <v>0.34375</v>
      </c>
      <c r="I309">
        <v>2.6669999999999998</v>
      </c>
      <c r="J309">
        <v>0</v>
      </c>
      <c r="L309">
        <v>6</v>
      </c>
      <c r="O309">
        <v>0.66700000000000004</v>
      </c>
      <c r="P309">
        <v>9.3339999999999996</v>
      </c>
      <c r="Q309" t="s">
        <v>78</v>
      </c>
    </row>
    <row r="310" spans="1:17" x14ac:dyDescent="0.3">
      <c r="A310" t="s">
        <v>94</v>
      </c>
      <c r="B310">
        <v>-35.58858</v>
      </c>
      <c r="C310">
        <v>138.60474600000001</v>
      </c>
      <c r="D310" s="2">
        <v>45984</v>
      </c>
      <c r="G310">
        <v>111</v>
      </c>
      <c r="I310">
        <v>167</v>
      </c>
      <c r="J310">
        <v>111</v>
      </c>
      <c r="L310">
        <v>278</v>
      </c>
      <c r="N310">
        <v>167</v>
      </c>
      <c r="O310">
        <v>500</v>
      </c>
      <c r="P310">
        <v>1223</v>
      </c>
      <c r="Q310" t="s">
        <v>129</v>
      </c>
    </row>
    <row r="311" spans="1:17" x14ac:dyDescent="0.3">
      <c r="A311" s="10" t="s">
        <v>197</v>
      </c>
      <c r="B311" s="10">
        <v>-35.793615000000003</v>
      </c>
      <c r="C311" s="10">
        <v>137.85449840000001</v>
      </c>
      <c r="D311" s="2">
        <v>45984</v>
      </c>
      <c r="F311" s="10">
        <v>0</v>
      </c>
      <c r="G311" s="10">
        <v>0</v>
      </c>
      <c r="H311" s="10">
        <v>0</v>
      </c>
      <c r="I311" s="10">
        <v>111</v>
      </c>
      <c r="J311" s="10">
        <v>1</v>
      </c>
      <c r="K311" s="10"/>
      <c r="L311" s="10">
        <v>39111</v>
      </c>
      <c r="M311" s="10">
        <v>0</v>
      </c>
      <c r="N311" s="10">
        <v>0</v>
      </c>
      <c r="O311" s="10">
        <v>0</v>
      </c>
      <c r="P311" s="10">
        <v>39223</v>
      </c>
      <c r="Q311" s="10" t="s">
        <v>151</v>
      </c>
    </row>
    <row r="312" spans="1:17" x14ac:dyDescent="0.3">
      <c r="A312" s="9" t="s">
        <v>195</v>
      </c>
      <c r="B312" s="9">
        <v>-35.787857600000002</v>
      </c>
      <c r="C312" s="10">
        <v>137.76991989999999</v>
      </c>
      <c r="D312" s="2">
        <v>45985</v>
      </c>
      <c r="F312" s="9">
        <v>0</v>
      </c>
      <c r="G312" s="9">
        <v>0</v>
      </c>
      <c r="H312" s="9">
        <v>0</v>
      </c>
      <c r="I312" s="9">
        <v>222</v>
      </c>
      <c r="J312" s="9">
        <v>222</v>
      </c>
      <c r="K312" s="9">
        <v>1222</v>
      </c>
      <c r="L312" s="9">
        <v>1899</v>
      </c>
      <c r="M312" s="9">
        <v>0</v>
      </c>
      <c r="N312" s="9">
        <v>0</v>
      </c>
      <c r="O312" s="9">
        <v>0</v>
      </c>
      <c r="P312" s="9">
        <v>3333</v>
      </c>
      <c r="Q312" s="9" t="s">
        <v>151</v>
      </c>
    </row>
    <row r="313" spans="1:17" x14ac:dyDescent="0.3">
      <c r="A313" s="10" t="s">
        <v>200</v>
      </c>
      <c r="B313" s="10">
        <v>-35.593628899999999</v>
      </c>
      <c r="C313" s="10">
        <v>137.5080696</v>
      </c>
      <c r="D313" s="2">
        <v>45985</v>
      </c>
      <c r="F313" s="10">
        <v>0</v>
      </c>
      <c r="G313" s="10">
        <v>0</v>
      </c>
      <c r="H313" s="10">
        <v>0</v>
      </c>
      <c r="I313" s="10">
        <v>7000</v>
      </c>
      <c r="J313" s="10">
        <v>7000</v>
      </c>
      <c r="K313" s="10">
        <v>667</v>
      </c>
      <c r="L313" s="10">
        <v>778</v>
      </c>
      <c r="M313" s="10">
        <v>0</v>
      </c>
      <c r="N313" s="10">
        <v>0</v>
      </c>
      <c r="O313" s="10">
        <v>0</v>
      </c>
      <c r="P313" s="10">
        <v>8445</v>
      </c>
      <c r="Q313" s="10" t="s">
        <v>151</v>
      </c>
    </row>
    <row r="314" spans="1:17" x14ac:dyDescent="0.3">
      <c r="A314" s="9" t="s">
        <v>201</v>
      </c>
      <c r="B314" s="10">
        <v>-35.5909288</v>
      </c>
      <c r="C314" s="10">
        <v>137.50683040000001</v>
      </c>
      <c r="D314" s="2">
        <v>45985</v>
      </c>
      <c r="F314" s="10">
        <v>1222</v>
      </c>
      <c r="G314" s="10">
        <v>0</v>
      </c>
      <c r="H314" s="10">
        <v>0</v>
      </c>
      <c r="I314" s="10">
        <v>444</v>
      </c>
      <c r="J314" s="10">
        <v>444</v>
      </c>
      <c r="K314" s="10">
        <v>667</v>
      </c>
      <c r="L314" s="10">
        <v>11667</v>
      </c>
      <c r="M314" s="10">
        <v>0</v>
      </c>
      <c r="N314" s="10">
        <v>0</v>
      </c>
      <c r="O314" s="10">
        <v>0</v>
      </c>
      <c r="P314" s="10">
        <v>14000</v>
      </c>
      <c r="Q314" s="10" t="s">
        <v>151</v>
      </c>
    </row>
    <row r="315" spans="1:17" x14ac:dyDescent="0.3">
      <c r="A315" t="s">
        <v>193</v>
      </c>
      <c r="B315">
        <v>-35.610827999999998</v>
      </c>
      <c r="C315">
        <v>138.59484699999999</v>
      </c>
      <c r="D315" s="2">
        <v>45986</v>
      </c>
      <c r="J315">
        <v>0</v>
      </c>
      <c r="N315">
        <v>167</v>
      </c>
      <c r="O315">
        <v>500</v>
      </c>
      <c r="P315">
        <v>667</v>
      </c>
      <c r="Q315" t="s">
        <v>129</v>
      </c>
    </row>
    <row r="316" spans="1:17" x14ac:dyDescent="0.3">
      <c r="A316" t="s">
        <v>194</v>
      </c>
      <c r="B316">
        <v>-35.588391000000001</v>
      </c>
      <c r="C316">
        <v>138.603328</v>
      </c>
      <c r="D316" s="2">
        <v>45986</v>
      </c>
      <c r="G316">
        <v>111</v>
      </c>
      <c r="J316">
        <v>0</v>
      </c>
      <c r="L316">
        <v>111</v>
      </c>
      <c r="N316">
        <v>111</v>
      </c>
      <c r="O316">
        <v>500</v>
      </c>
      <c r="P316">
        <v>833</v>
      </c>
      <c r="Q316" t="s">
        <v>129</v>
      </c>
    </row>
    <row r="317" spans="1:17" x14ac:dyDescent="0.3">
      <c r="A317" s="10" t="s">
        <v>202</v>
      </c>
      <c r="B317" s="10">
        <v>-35.802792599999997</v>
      </c>
      <c r="C317" s="10">
        <v>137.745824</v>
      </c>
      <c r="D317" s="2">
        <v>45986</v>
      </c>
      <c r="F317" s="10">
        <v>17</v>
      </c>
      <c r="G317" s="10">
        <v>0</v>
      </c>
      <c r="H317" s="10">
        <v>0</v>
      </c>
      <c r="I317" s="10">
        <v>40556</v>
      </c>
      <c r="J317" s="10">
        <v>40000</v>
      </c>
      <c r="K317" s="10">
        <v>0</v>
      </c>
      <c r="L317" s="10">
        <v>30556</v>
      </c>
      <c r="M317" s="10">
        <v>0</v>
      </c>
      <c r="N317" s="10">
        <v>0</v>
      </c>
      <c r="O317" s="10">
        <v>15</v>
      </c>
      <c r="P317" s="10">
        <v>76556</v>
      </c>
      <c r="Q317" s="10" t="s">
        <v>151</v>
      </c>
    </row>
    <row r="318" spans="1:17" x14ac:dyDescent="0.3">
      <c r="A318" s="9" t="s">
        <v>195</v>
      </c>
      <c r="B318" s="9">
        <v>-35.787857600000002</v>
      </c>
      <c r="C318" s="10">
        <v>137.76991989999999</v>
      </c>
      <c r="D318" s="2">
        <v>45987</v>
      </c>
      <c r="F318" s="10">
        <v>0</v>
      </c>
      <c r="G318" s="10">
        <v>0</v>
      </c>
      <c r="H318" s="10">
        <v>0</v>
      </c>
      <c r="I318" s="10">
        <v>1000</v>
      </c>
      <c r="J318" s="10">
        <v>0</v>
      </c>
      <c r="K318" s="10">
        <v>1</v>
      </c>
      <c r="L318" s="10">
        <v>4</v>
      </c>
      <c r="M318" s="10">
        <v>0</v>
      </c>
      <c r="N318" s="10">
        <v>0</v>
      </c>
      <c r="O318" s="10">
        <v>0</v>
      </c>
      <c r="P318" s="10">
        <v>1005</v>
      </c>
      <c r="Q318" s="10" t="s">
        <v>151</v>
      </c>
    </row>
    <row r="319" spans="1:17" x14ac:dyDescent="0.3">
      <c r="A319" s="10" t="s">
        <v>196</v>
      </c>
      <c r="B319" s="10">
        <v>-35.781898699999999</v>
      </c>
      <c r="C319" s="10">
        <v>137.7717006</v>
      </c>
      <c r="D319" s="2">
        <v>45987</v>
      </c>
      <c r="F319" s="10">
        <v>0</v>
      </c>
      <c r="G319" s="10">
        <v>0</v>
      </c>
      <c r="H319" s="10">
        <v>0</v>
      </c>
      <c r="I319" s="10">
        <v>1000</v>
      </c>
      <c r="J319" s="10">
        <v>0</v>
      </c>
      <c r="K319" s="10">
        <v>0</v>
      </c>
      <c r="L319" s="10">
        <v>3111</v>
      </c>
      <c r="M319" s="10">
        <v>0</v>
      </c>
      <c r="N319" s="10">
        <v>0</v>
      </c>
      <c r="O319" s="10">
        <v>222</v>
      </c>
      <c r="P319" s="10">
        <v>4333</v>
      </c>
      <c r="Q319" s="10" t="s">
        <v>151</v>
      </c>
    </row>
    <row r="320" spans="1:17" x14ac:dyDescent="0.3">
      <c r="A320" t="s">
        <v>178</v>
      </c>
      <c r="B320">
        <v>-35.082030000000003</v>
      </c>
      <c r="C320">
        <v>137.7484</v>
      </c>
      <c r="D320" s="2">
        <v>45988</v>
      </c>
      <c r="F320">
        <v>0</v>
      </c>
      <c r="G320">
        <v>0</v>
      </c>
      <c r="H320">
        <v>0</v>
      </c>
      <c r="I320">
        <v>167</v>
      </c>
      <c r="J320">
        <v>0</v>
      </c>
      <c r="K320">
        <v>56</v>
      </c>
      <c r="L320">
        <v>472</v>
      </c>
      <c r="N320">
        <v>2500</v>
      </c>
      <c r="P320">
        <v>3195</v>
      </c>
      <c r="Q320" t="s">
        <v>149</v>
      </c>
    </row>
    <row r="321" spans="1:17" x14ac:dyDescent="0.3">
      <c r="A321" t="s">
        <v>204</v>
      </c>
      <c r="B321">
        <v>-35.802792599999997</v>
      </c>
      <c r="C321">
        <v>137.745824</v>
      </c>
      <c r="D321" s="2">
        <v>45989</v>
      </c>
      <c r="F321">
        <v>0</v>
      </c>
      <c r="G321">
        <v>0</v>
      </c>
      <c r="H321">
        <v>0</v>
      </c>
      <c r="I321">
        <v>1000</v>
      </c>
      <c r="J321">
        <v>1000</v>
      </c>
      <c r="K321">
        <v>0</v>
      </c>
      <c r="L321">
        <v>444</v>
      </c>
      <c r="M321">
        <v>0</v>
      </c>
      <c r="N321">
        <v>0</v>
      </c>
      <c r="O321">
        <v>0</v>
      </c>
      <c r="P321">
        <v>1444</v>
      </c>
      <c r="Q321" t="s">
        <v>151</v>
      </c>
    </row>
    <row r="322" spans="1:17" x14ac:dyDescent="0.3">
      <c r="A322" t="s">
        <v>205</v>
      </c>
      <c r="B322">
        <v>-35.8026926</v>
      </c>
      <c r="C322">
        <v>137.745824</v>
      </c>
      <c r="D322" s="2">
        <v>45989</v>
      </c>
      <c r="F322">
        <v>0</v>
      </c>
      <c r="G322">
        <v>0</v>
      </c>
      <c r="H322">
        <v>0</v>
      </c>
      <c r="I322">
        <v>1333</v>
      </c>
      <c r="J322">
        <v>1333</v>
      </c>
      <c r="K322">
        <v>0</v>
      </c>
      <c r="L322">
        <v>222</v>
      </c>
      <c r="M322">
        <v>0</v>
      </c>
      <c r="N322">
        <v>0</v>
      </c>
      <c r="O322">
        <v>0</v>
      </c>
      <c r="P322">
        <v>1556</v>
      </c>
      <c r="Q322" t="s">
        <v>151</v>
      </c>
    </row>
    <row r="323" spans="1:17" x14ac:dyDescent="0.3">
      <c r="A323" t="s">
        <v>208</v>
      </c>
      <c r="B323">
        <v>-35.671777499999997</v>
      </c>
      <c r="C323">
        <v>137.6137956</v>
      </c>
      <c r="D323" s="2">
        <v>45989</v>
      </c>
      <c r="F323">
        <v>0</v>
      </c>
      <c r="G323">
        <v>0</v>
      </c>
      <c r="H323">
        <v>0</v>
      </c>
      <c r="I323">
        <v>667</v>
      </c>
      <c r="J323">
        <v>667</v>
      </c>
      <c r="K323">
        <v>0</v>
      </c>
      <c r="L323">
        <v>667</v>
      </c>
      <c r="M323">
        <v>0</v>
      </c>
      <c r="N323">
        <v>0</v>
      </c>
      <c r="O323">
        <v>0</v>
      </c>
      <c r="P323">
        <v>1556</v>
      </c>
      <c r="Q323" t="s">
        <v>151</v>
      </c>
    </row>
    <row r="324" spans="1:17" x14ac:dyDescent="0.3">
      <c r="A324" t="s">
        <v>79</v>
      </c>
      <c r="B324">
        <v>-34.804169999999999</v>
      </c>
      <c r="C324">
        <v>138.53970000000001</v>
      </c>
      <c r="D324" s="2">
        <v>45990</v>
      </c>
      <c r="E324" s="20">
        <v>0.44444444444444442</v>
      </c>
      <c r="I324">
        <v>0.36699999999999999</v>
      </c>
      <c r="J324">
        <v>6.7000000000000004E-2</v>
      </c>
      <c r="L324">
        <v>0.53300000000000003</v>
      </c>
      <c r="O324">
        <v>0</v>
      </c>
      <c r="P324">
        <v>0.9</v>
      </c>
      <c r="Q324" t="s">
        <v>78</v>
      </c>
    </row>
    <row r="325" spans="1:17" x14ac:dyDescent="0.3">
      <c r="A325" t="s">
        <v>203</v>
      </c>
      <c r="B325">
        <v>-34.940480000000001</v>
      </c>
      <c r="C325">
        <v>138.49844100000001</v>
      </c>
      <c r="D325" s="2">
        <v>45990</v>
      </c>
      <c r="E325" s="20">
        <v>0.41180555555555554</v>
      </c>
      <c r="I325">
        <v>3.375</v>
      </c>
      <c r="J325">
        <v>1.125</v>
      </c>
      <c r="L325">
        <v>8.5310000000000006</v>
      </c>
      <c r="O325">
        <v>1.4059999999999999</v>
      </c>
      <c r="P325">
        <v>13.313000000000001</v>
      </c>
      <c r="Q325" t="s">
        <v>78</v>
      </c>
    </row>
    <row r="326" spans="1:17" x14ac:dyDescent="0.3">
      <c r="A326" t="s">
        <v>85</v>
      </c>
      <c r="B326">
        <v>-34.873939999999997</v>
      </c>
      <c r="C326">
        <v>138.48820000000001</v>
      </c>
      <c r="D326" s="2">
        <v>45990</v>
      </c>
      <c r="E326" s="20">
        <v>0.4236111111111111</v>
      </c>
      <c r="I326">
        <v>5.1749999999999998</v>
      </c>
      <c r="J326">
        <v>0.22500000000000001</v>
      </c>
      <c r="L326">
        <v>0.67500000000000004</v>
      </c>
      <c r="O326">
        <v>5.25</v>
      </c>
      <c r="P326">
        <v>11.1</v>
      </c>
      <c r="Q326" t="s">
        <v>78</v>
      </c>
    </row>
    <row r="327" spans="1:17" x14ac:dyDescent="0.3">
      <c r="A327" t="s">
        <v>197</v>
      </c>
      <c r="B327">
        <v>-35.793615000000003</v>
      </c>
      <c r="C327">
        <v>137.85449840000001</v>
      </c>
      <c r="D327" s="2">
        <v>45990</v>
      </c>
      <c r="F327">
        <v>0</v>
      </c>
      <c r="G327">
        <v>0</v>
      </c>
      <c r="H327">
        <v>0</v>
      </c>
      <c r="I327">
        <v>9889</v>
      </c>
      <c r="J327">
        <v>9889</v>
      </c>
      <c r="K327">
        <v>0</v>
      </c>
      <c r="L327">
        <v>1889</v>
      </c>
      <c r="M327">
        <v>0</v>
      </c>
      <c r="N327">
        <v>0</v>
      </c>
      <c r="O327">
        <v>0</v>
      </c>
      <c r="P327">
        <v>13611</v>
      </c>
      <c r="Q327" t="s">
        <v>151</v>
      </c>
    </row>
    <row r="328" spans="1:17" x14ac:dyDescent="0.3">
      <c r="A328" t="s">
        <v>94</v>
      </c>
      <c r="B328">
        <v>-35.58858</v>
      </c>
      <c r="C328">
        <v>138.60474600000001</v>
      </c>
      <c r="D328" s="2">
        <v>45991</v>
      </c>
      <c r="J328">
        <v>0</v>
      </c>
      <c r="L328">
        <v>56</v>
      </c>
      <c r="N328">
        <v>389</v>
      </c>
      <c r="O328">
        <v>500</v>
      </c>
      <c r="P328">
        <v>945</v>
      </c>
      <c r="Q328" t="s">
        <v>129</v>
      </c>
    </row>
    <row r="329" spans="1:17" x14ac:dyDescent="0.3">
      <c r="A329" t="s">
        <v>86</v>
      </c>
      <c r="B329">
        <v>-35.540277000000003</v>
      </c>
      <c r="C329">
        <v>138.66416599999999</v>
      </c>
      <c r="D329" s="2">
        <v>45991</v>
      </c>
      <c r="G329">
        <v>167</v>
      </c>
      <c r="H329">
        <v>56</v>
      </c>
      <c r="J329">
        <v>0</v>
      </c>
      <c r="L329">
        <v>56</v>
      </c>
      <c r="N329">
        <v>389</v>
      </c>
      <c r="O329">
        <v>667</v>
      </c>
      <c r="P329">
        <v>1335</v>
      </c>
      <c r="Q329" t="s">
        <v>129</v>
      </c>
    </row>
    <row r="330" spans="1:17" x14ac:dyDescent="0.3">
      <c r="A330" t="s">
        <v>210</v>
      </c>
      <c r="B330">
        <v>-35.581816000000003</v>
      </c>
      <c r="C330">
        <v>138.606953</v>
      </c>
      <c r="D330" s="2">
        <v>45991</v>
      </c>
      <c r="I330">
        <v>56</v>
      </c>
      <c r="J330">
        <v>0</v>
      </c>
      <c r="L330">
        <v>56</v>
      </c>
      <c r="N330">
        <v>56</v>
      </c>
      <c r="O330">
        <v>500</v>
      </c>
      <c r="P330">
        <v>668</v>
      </c>
      <c r="Q330" t="s">
        <v>129</v>
      </c>
    </row>
    <row r="331" spans="1:17" x14ac:dyDescent="0.3">
      <c r="A331" t="s">
        <v>87</v>
      </c>
      <c r="B331">
        <v>-35.573300000000003</v>
      </c>
      <c r="C331">
        <v>138.64250000000001</v>
      </c>
      <c r="D331" s="2">
        <v>45991</v>
      </c>
      <c r="G331">
        <v>56</v>
      </c>
      <c r="J331">
        <v>0</v>
      </c>
      <c r="L331">
        <v>167</v>
      </c>
      <c r="N331">
        <v>333</v>
      </c>
      <c r="O331">
        <v>611</v>
      </c>
      <c r="P331">
        <v>1167</v>
      </c>
      <c r="Q331" t="s">
        <v>129</v>
      </c>
    </row>
    <row r="332" spans="1:17" x14ac:dyDescent="0.3">
      <c r="A332" t="s">
        <v>209</v>
      </c>
      <c r="B332">
        <v>-35.7391796</v>
      </c>
      <c r="C332">
        <v>137.68241320000001</v>
      </c>
      <c r="D332" s="2">
        <v>45991</v>
      </c>
      <c r="F332">
        <v>0</v>
      </c>
      <c r="G332">
        <v>0</v>
      </c>
      <c r="H332">
        <v>0</v>
      </c>
      <c r="I332">
        <v>778</v>
      </c>
      <c r="J332">
        <v>778</v>
      </c>
      <c r="K332">
        <v>0</v>
      </c>
      <c r="L332">
        <v>1333</v>
      </c>
      <c r="M332">
        <v>0</v>
      </c>
      <c r="N332">
        <v>0</v>
      </c>
      <c r="O332">
        <v>0</v>
      </c>
      <c r="P332">
        <v>2111</v>
      </c>
      <c r="Q332" t="s">
        <v>151</v>
      </c>
    </row>
    <row r="333" spans="1:17" x14ac:dyDescent="0.3">
      <c r="A333" t="s">
        <v>206</v>
      </c>
      <c r="B333">
        <v>-35.789543199999997</v>
      </c>
      <c r="C333">
        <v>137.7884124</v>
      </c>
      <c r="D333" s="2">
        <v>45992</v>
      </c>
      <c r="F333">
        <v>0</v>
      </c>
      <c r="G333">
        <v>0</v>
      </c>
      <c r="H333">
        <v>0</v>
      </c>
      <c r="I333">
        <v>2833</v>
      </c>
      <c r="J333">
        <v>333</v>
      </c>
      <c r="K333">
        <v>0</v>
      </c>
      <c r="L333">
        <v>611</v>
      </c>
      <c r="M333">
        <v>0</v>
      </c>
      <c r="N333">
        <v>0</v>
      </c>
      <c r="O333">
        <v>0</v>
      </c>
      <c r="P333">
        <v>4389</v>
      </c>
      <c r="Q333" t="s">
        <v>151</v>
      </c>
    </row>
    <row r="334" spans="1:17" x14ac:dyDescent="0.3">
      <c r="A334" t="s">
        <v>207</v>
      </c>
      <c r="B334">
        <v>-35.799307599999999</v>
      </c>
      <c r="C334">
        <v>137.81896649999999</v>
      </c>
      <c r="D334" s="2">
        <v>45992</v>
      </c>
      <c r="F334">
        <v>0</v>
      </c>
      <c r="G334">
        <v>0</v>
      </c>
      <c r="H334">
        <v>0</v>
      </c>
      <c r="I334">
        <v>1778</v>
      </c>
      <c r="J334">
        <v>1778</v>
      </c>
      <c r="L334">
        <v>2667</v>
      </c>
      <c r="M334">
        <v>0</v>
      </c>
      <c r="N334">
        <v>0</v>
      </c>
      <c r="O334">
        <v>444</v>
      </c>
      <c r="P334">
        <v>4889</v>
      </c>
      <c r="Q334" t="s">
        <v>151</v>
      </c>
    </row>
    <row r="335" spans="1:17" x14ac:dyDescent="0.3">
      <c r="A335" t="s">
        <v>211</v>
      </c>
      <c r="B335">
        <v>-35.515507999999997</v>
      </c>
      <c r="C335">
        <v>138.729004</v>
      </c>
      <c r="D335" s="2">
        <v>45992</v>
      </c>
      <c r="J335">
        <v>0</v>
      </c>
      <c r="Q335" t="s">
        <v>186</v>
      </c>
    </row>
    <row r="336" spans="1:17" x14ac:dyDescent="0.3">
      <c r="A336" t="s">
        <v>185</v>
      </c>
      <c r="B336">
        <v>-35.538469999999997</v>
      </c>
      <c r="C336">
        <v>138.649779</v>
      </c>
      <c r="D336" s="2">
        <v>45992</v>
      </c>
      <c r="J336">
        <v>0</v>
      </c>
      <c r="Q336" t="s">
        <v>186</v>
      </c>
    </row>
    <row r="337" spans="1:17" x14ac:dyDescent="0.3">
      <c r="A337" t="s">
        <v>91</v>
      </c>
      <c r="B337">
        <v>-35.536168000000004</v>
      </c>
      <c r="C337">
        <v>138.677615</v>
      </c>
      <c r="D337" s="2">
        <v>45992</v>
      </c>
      <c r="J337">
        <v>0</v>
      </c>
      <c r="Q337" t="s">
        <v>186</v>
      </c>
    </row>
    <row r="338" spans="1:17" x14ac:dyDescent="0.3">
      <c r="A338" t="s">
        <v>92</v>
      </c>
      <c r="B338">
        <v>-35.634602000000001</v>
      </c>
      <c r="C338">
        <v>138.49898300000001</v>
      </c>
      <c r="D338" s="2">
        <v>45992</v>
      </c>
      <c r="J338">
        <v>0</v>
      </c>
      <c r="Q338" t="s">
        <v>186</v>
      </c>
    </row>
    <row r="339" spans="1:17" x14ac:dyDescent="0.3">
      <c r="A339" t="s">
        <v>212</v>
      </c>
      <c r="B339">
        <v>-35.632100000000001</v>
      </c>
      <c r="C339">
        <v>138.4743</v>
      </c>
      <c r="D339" s="2">
        <v>45992</v>
      </c>
      <c r="J339">
        <v>0</v>
      </c>
      <c r="Q339" t="s">
        <v>186</v>
      </c>
    </row>
    <row r="340" spans="1:17" x14ac:dyDescent="0.3">
      <c r="A340" t="s">
        <v>213</v>
      </c>
      <c r="B340">
        <v>-35.549100000000003</v>
      </c>
      <c r="C340">
        <v>138.62649999999999</v>
      </c>
      <c r="D340" s="2">
        <v>45992</v>
      </c>
      <c r="J340">
        <v>0</v>
      </c>
      <c r="Q340" t="s">
        <v>186</v>
      </c>
    </row>
    <row r="341" spans="1:17" x14ac:dyDescent="0.3">
      <c r="A341" t="s">
        <v>211</v>
      </c>
      <c r="B341">
        <v>-35.515507999999997</v>
      </c>
      <c r="C341">
        <v>138.729004</v>
      </c>
      <c r="D341" s="2">
        <v>45994</v>
      </c>
      <c r="J341">
        <v>0</v>
      </c>
      <c r="Q341" t="s">
        <v>186</v>
      </c>
    </row>
    <row r="342" spans="1:17" x14ac:dyDescent="0.3">
      <c r="A342" t="s">
        <v>91</v>
      </c>
      <c r="B342">
        <v>-35.536168000000004</v>
      </c>
      <c r="C342">
        <v>138.677615</v>
      </c>
      <c r="D342" s="2">
        <v>45994</v>
      </c>
      <c r="J342">
        <v>0</v>
      </c>
      <c r="Q342" t="s">
        <v>186</v>
      </c>
    </row>
    <row r="343" spans="1:17" x14ac:dyDescent="0.3">
      <c r="A343" t="s">
        <v>185</v>
      </c>
      <c r="B343">
        <v>-35.538469999999997</v>
      </c>
      <c r="C343">
        <v>138.649779</v>
      </c>
      <c r="D343" s="2">
        <v>45994</v>
      </c>
      <c r="J343">
        <v>0</v>
      </c>
      <c r="Q343" t="s">
        <v>186</v>
      </c>
    </row>
    <row r="344" spans="1:17" x14ac:dyDescent="0.3">
      <c r="A344" t="s">
        <v>213</v>
      </c>
      <c r="B344">
        <v>-35.549100000000003</v>
      </c>
      <c r="C344">
        <v>138.62649999999999</v>
      </c>
      <c r="D344" s="2">
        <v>45994</v>
      </c>
      <c r="J344">
        <v>0</v>
      </c>
      <c r="Q344" t="s">
        <v>186</v>
      </c>
    </row>
    <row r="345" spans="1:17" x14ac:dyDescent="0.3">
      <c r="A345" t="s">
        <v>188</v>
      </c>
      <c r="B345">
        <v>-35.592393000000001</v>
      </c>
      <c r="C345">
        <v>138.599706</v>
      </c>
      <c r="D345" s="2">
        <v>45994</v>
      </c>
      <c r="J345">
        <v>0</v>
      </c>
      <c r="Q345" t="s">
        <v>186</v>
      </c>
    </row>
    <row r="346" spans="1:17" x14ac:dyDescent="0.3">
      <c r="A346" t="s">
        <v>92</v>
      </c>
      <c r="B346">
        <v>-35.634602000000001</v>
      </c>
      <c r="C346">
        <v>138.49898300000001</v>
      </c>
      <c r="D346" s="2">
        <v>45994</v>
      </c>
      <c r="J346">
        <v>0</v>
      </c>
      <c r="Q346" t="s">
        <v>186</v>
      </c>
    </row>
    <row r="347" spans="1:17" x14ac:dyDescent="0.3">
      <c r="A347" t="s">
        <v>178</v>
      </c>
      <c r="B347">
        <v>-35.082030000000003</v>
      </c>
      <c r="C347">
        <v>137.7484</v>
      </c>
      <c r="D347" s="2">
        <v>45994</v>
      </c>
      <c r="F347">
        <v>0</v>
      </c>
      <c r="G347">
        <v>56</v>
      </c>
      <c r="H347">
        <v>56</v>
      </c>
      <c r="I347">
        <v>389</v>
      </c>
      <c r="J347">
        <v>0</v>
      </c>
      <c r="K347">
        <v>0</v>
      </c>
      <c r="L347">
        <v>111</v>
      </c>
      <c r="M347">
        <v>56</v>
      </c>
      <c r="N347">
        <v>8000</v>
      </c>
      <c r="P347">
        <v>8668</v>
      </c>
      <c r="Q347" t="s">
        <v>149</v>
      </c>
    </row>
    <row r="348" spans="1:17" x14ac:dyDescent="0.3">
      <c r="A348" t="s">
        <v>156</v>
      </c>
      <c r="B348">
        <v>-35.638609789999997</v>
      </c>
      <c r="C348">
        <v>137.62514150000001</v>
      </c>
      <c r="D348" s="2">
        <v>45995</v>
      </c>
      <c r="I348">
        <v>56</v>
      </c>
      <c r="J348">
        <v>0</v>
      </c>
      <c r="K348">
        <v>56</v>
      </c>
      <c r="L348">
        <v>3167</v>
      </c>
      <c r="N348">
        <v>778</v>
      </c>
      <c r="O348">
        <v>2000</v>
      </c>
      <c r="P348">
        <v>6057</v>
      </c>
      <c r="Q348" t="s">
        <v>129</v>
      </c>
    </row>
    <row r="349" spans="1:17" x14ac:dyDescent="0.3">
      <c r="A349" t="s">
        <v>37</v>
      </c>
      <c r="B349">
        <v>-34.289369999999998</v>
      </c>
      <c r="C349">
        <v>138.01242999999999</v>
      </c>
      <c r="D349" s="2">
        <v>45997</v>
      </c>
      <c r="G349">
        <v>278</v>
      </c>
      <c r="H349">
        <v>889</v>
      </c>
      <c r="I349">
        <v>611</v>
      </c>
      <c r="J349">
        <v>0</v>
      </c>
      <c r="K349">
        <v>222</v>
      </c>
      <c r="L349">
        <v>2056</v>
      </c>
      <c r="M349">
        <v>333</v>
      </c>
      <c r="N349">
        <v>3111</v>
      </c>
      <c r="P349">
        <v>7500</v>
      </c>
      <c r="Q349" t="s">
        <v>76</v>
      </c>
    </row>
    <row r="350" spans="1:17" x14ac:dyDescent="0.3">
      <c r="A350" t="s">
        <v>230</v>
      </c>
      <c r="B350">
        <v>-35.054707999999998</v>
      </c>
      <c r="C350">
        <v>137.725145</v>
      </c>
      <c r="D350" s="2">
        <v>45997</v>
      </c>
      <c r="I350">
        <v>42111</v>
      </c>
      <c r="J350">
        <v>0</v>
      </c>
      <c r="L350">
        <v>3000</v>
      </c>
      <c r="N350">
        <v>1889</v>
      </c>
      <c r="O350">
        <v>889</v>
      </c>
      <c r="P350">
        <v>47889</v>
      </c>
      <c r="Q350" t="s">
        <v>218</v>
      </c>
    </row>
    <row r="351" spans="1:17" x14ac:dyDescent="0.3">
      <c r="A351" t="s">
        <v>219</v>
      </c>
      <c r="B351">
        <v>-35.719856700000001</v>
      </c>
      <c r="C351">
        <v>137.92948419999999</v>
      </c>
      <c r="D351" s="2">
        <v>45997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11889</v>
      </c>
      <c r="M351">
        <v>0</v>
      </c>
      <c r="N351">
        <v>0</v>
      </c>
      <c r="O351">
        <v>222</v>
      </c>
      <c r="P351">
        <v>12111</v>
      </c>
      <c r="Q351" t="s">
        <v>151</v>
      </c>
    </row>
    <row r="352" spans="1:17" x14ac:dyDescent="0.3">
      <c r="A352" t="s">
        <v>224</v>
      </c>
      <c r="B352">
        <v>-35.120863999999997</v>
      </c>
      <c r="C352">
        <v>138.467173</v>
      </c>
      <c r="D352" s="2">
        <v>45997</v>
      </c>
      <c r="E352" s="20">
        <v>0.57013888888888886</v>
      </c>
      <c r="F352">
        <v>0</v>
      </c>
      <c r="G352">
        <v>2.2499999999999999E-2</v>
      </c>
      <c r="H352">
        <v>0</v>
      </c>
      <c r="I352">
        <v>3.6875</v>
      </c>
      <c r="J352">
        <v>0.25</v>
      </c>
      <c r="L352">
        <v>3.125</v>
      </c>
      <c r="M352">
        <v>4.4999999999999998E-2</v>
      </c>
      <c r="N352">
        <v>0</v>
      </c>
      <c r="O352">
        <v>2</v>
      </c>
      <c r="P352">
        <v>9.129999999999999</v>
      </c>
      <c r="Q352" t="s">
        <v>78</v>
      </c>
    </row>
    <row r="353" spans="1:17" x14ac:dyDescent="0.3">
      <c r="A353" t="s">
        <v>179</v>
      </c>
      <c r="B353">
        <v>-35.078539999999997</v>
      </c>
      <c r="C353">
        <v>138.49587</v>
      </c>
      <c r="D353" s="2">
        <v>45997</v>
      </c>
      <c r="E353" s="20">
        <v>0.58333333333333337</v>
      </c>
      <c r="F353">
        <v>0</v>
      </c>
      <c r="G353">
        <v>0.05</v>
      </c>
      <c r="H353">
        <v>0</v>
      </c>
      <c r="I353">
        <v>1.7</v>
      </c>
      <c r="J353">
        <v>0</v>
      </c>
      <c r="L353">
        <v>3.45</v>
      </c>
      <c r="M353">
        <v>0</v>
      </c>
      <c r="N353">
        <v>0</v>
      </c>
      <c r="O353">
        <v>0.15</v>
      </c>
      <c r="P353">
        <v>5.3500000000000005</v>
      </c>
      <c r="Q353" t="s">
        <v>78</v>
      </c>
    </row>
    <row r="354" spans="1:17" x14ac:dyDescent="0.3">
      <c r="A354" t="s">
        <v>154</v>
      </c>
      <c r="B354">
        <v>-35.655576000000003</v>
      </c>
      <c r="C354">
        <v>137.641276</v>
      </c>
      <c r="D354" s="2">
        <v>45997</v>
      </c>
      <c r="G354">
        <v>56</v>
      </c>
      <c r="I354">
        <v>111</v>
      </c>
      <c r="J354">
        <v>0</v>
      </c>
      <c r="L354">
        <v>500</v>
      </c>
      <c r="N354">
        <v>611</v>
      </c>
      <c r="O354">
        <v>1278</v>
      </c>
      <c r="P354">
        <v>2556</v>
      </c>
      <c r="Q354" t="s">
        <v>129</v>
      </c>
    </row>
    <row r="355" spans="1:17" x14ac:dyDescent="0.3">
      <c r="A355" t="s">
        <v>220</v>
      </c>
      <c r="B355">
        <v>-35.738910099999998</v>
      </c>
      <c r="C355">
        <v>137.68358799999999</v>
      </c>
      <c r="D355" s="2">
        <v>45998</v>
      </c>
      <c r="F355">
        <v>111</v>
      </c>
      <c r="G355">
        <v>0</v>
      </c>
      <c r="H355">
        <v>0</v>
      </c>
      <c r="I355">
        <v>889</v>
      </c>
      <c r="J355">
        <v>0</v>
      </c>
      <c r="K355">
        <v>0</v>
      </c>
      <c r="L355">
        <v>4111</v>
      </c>
      <c r="M355">
        <v>0</v>
      </c>
      <c r="N355">
        <v>778</v>
      </c>
      <c r="O355">
        <v>111</v>
      </c>
      <c r="P355">
        <v>5999</v>
      </c>
      <c r="Q355" t="s">
        <v>151</v>
      </c>
    </row>
    <row r="356" spans="1:17" x14ac:dyDescent="0.3">
      <c r="A356" t="s">
        <v>293</v>
      </c>
      <c r="B356">
        <v>-35.509267000000001</v>
      </c>
      <c r="C356">
        <v>138.215</v>
      </c>
      <c r="D356" s="2">
        <v>45998</v>
      </c>
      <c r="J356">
        <v>0</v>
      </c>
      <c r="N356">
        <v>611</v>
      </c>
      <c r="O356">
        <v>444</v>
      </c>
      <c r="P356">
        <v>1055</v>
      </c>
      <c r="Q356" t="s">
        <v>129</v>
      </c>
    </row>
    <row r="357" spans="1:17" x14ac:dyDescent="0.3">
      <c r="A357" t="s">
        <v>294</v>
      </c>
      <c r="B357">
        <v>-35.509166999999998</v>
      </c>
      <c r="C357">
        <v>138.215</v>
      </c>
      <c r="D357" s="2">
        <v>45998</v>
      </c>
      <c r="G357">
        <v>111</v>
      </c>
      <c r="J357">
        <v>0</v>
      </c>
      <c r="L357">
        <v>111</v>
      </c>
      <c r="N357">
        <v>611</v>
      </c>
      <c r="O357">
        <v>389</v>
      </c>
      <c r="P357">
        <v>1222</v>
      </c>
      <c r="Q357" t="s">
        <v>129</v>
      </c>
    </row>
    <row r="358" spans="1:17" x14ac:dyDescent="0.3">
      <c r="A358" t="s">
        <v>221</v>
      </c>
      <c r="B358">
        <v>-35.638145999999999</v>
      </c>
      <c r="C358">
        <v>137.6249325</v>
      </c>
      <c r="D358" s="2">
        <v>45999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151</v>
      </c>
    </row>
    <row r="359" spans="1:17" x14ac:dyDescent="0.3">
      <c r="A359" t="s">
        <v>222</v>
      </c>
      <c r="B359">
        <v>-35.671809099999997</v>
      </c>
      <c r="C359">
        <v>137.61394279999999</v>
      </c>
      <c r="D359" s="2">
        <v>45999</v>
      </c>
      <c r="F359">
        <v>0</v>
      </c>
      <c r="G359">
        <v>0</v>
      </c>
      <c r="H359">
        <v>0</v>
      </c>
      <c r="I359">
        <v>556</v>
      </c>
      <c r="J359">
        <v>0</v>
      </c>
      <c r="K359">
        <v>0</v>
      </c>
      <c r="L359">
        <v>2778</v>
      </c>
      <c r="M359">
        <v>0</v>
      </c>
      <c r="N359">
        <v>0</v>
      </c>
      <c r="O359">
        <v>222</v>
      </c>
      <c r="P359">
        <v>5445</v>
      </c>
      <c r="Q359" t="s">
        <v>151</v>
      </c>
    </row>
    <row r="360" spans="1:17" x14ac:dyDescent="0.3">
      <c r="A360" t="s">
        <v>94</v>
      </c>
      <c r="B360">
        <v>-35.58858</v>
      </c>
      <c r="C360">
        <v>138.60474600000001</v>
      </c>
      <c r="D360" s="2">
        <v>45999</v>
      </c>
      <c r="G360">
        <v>111</v>
      </c>
      <c r="I360">
        <v>111</v>
      </c>
      <c r="J360">
        <v>0</v>
      </c>
      <c r="L360">
        <v>444</v>
      </c>
      <c r="N360">
        <v>333</v>
      </c>
      <c r="O360">
        <v>667</v>
      </c>
      <c r="P360">
        <v>1666</v>
      </c>
      <c r="Q360" t="s">
        <v>129</v>
      </c>
    </row>
    <row r="361" spans="1:17" x14ac:dyDescent="0.3">
      <c r="A361" t="s">
        <v>89</v>
      </c>
      <c r="B361">
        <v>-35.6048446</v>
      </c>
      <c r="C361">
        <v>138.59278499999999</v>
      </c>
      <c r="D361" s="2">
        <v>45999</v>
      </c>
      <c r="G361">
        <v>56</v>
      </c>
      <c r="H361">
        <v>56</v>
      </c>
      <c r="J361">
        <v>0</v>
      </c>
      <c r="L361">
        <v>167</v>
      </c>
      <c r="N361">
        <v>500</v>
      </c>
      <c r="O361">
        <v>444</v>
      </c>
      <c r="P361">
        <v>1223</v>
      </c>
      <c r="Q361" t="s">
        <v>129</v>
      </c>
    </row>
    <row r="362" spans="1:17" x14ac:dyDescent="0.3">
      <c r="A362" t="s">
        <v>18</v>
      </c>
      <c r="B362">
        <v>-34.744259999999997</v>
      </c>
      <c r="C362">
        <v>138.53462999999999</v>
      </c>
      <c r="D362" s="2">
        <v>46001</v>
      </c>
      <c r="H362">
        <v>113</v>
      </c>
      <c r="J362">
        <v>0</v>
      </c>
      <c r="L362">
        <v>394</v>
      </c>
      <c r="N362">
        <v>56000</v>
      </c>
      <c r="O362">
        <v>197</v>
      </c>
      <c r="P362">
        <v>56704</v>
      </c>
      <c r="Q362" t="s">
        <v>76</v>
      </c>
    </row>
    <row r="363" spans="1:17" x14ac:dyDescent="0.3">
      <c r="A363" t="s">
        <v>214</v>
      </c>
      <c r="B363">
        <v>-34.180396000000002</v>
      </c>
      <c r="C363">
        <v>138.145667</v>
      </c>
      <c r="D363" s="2">
        <v>46001</v>
      </c>
      <c r="G363">
        <v>56</v>
      </c>
      <c r="H363">
        <v>1167</v>
      </c>
      <c r="I363">
        <v>500</v>
      </c>
      <c r="J363">
        <v>0</v>
      </c>
      <c r="L363">
        <v>1889</v>
      </c>
      <c r="M363">
        <v>56</v>
      </c>
      <c r="O363">
        <v>111</v>
      </c>
      <c r="P363">
        <v>3778</v>
      </c>
      <c r="Q363" t="s">
        <v>76</v>
      </c>
    </row>
    <row r="364" spans="1:17" x14ac:dyDescent="0.3">
      <c r="A364" t="s">
        <v>215</v>
      </c>
      <c r="B364">
        <v>-34.176642000000001</v>
      </c>
      <c r="C364">
        <v>138.04467299999999</v>
      </c>
      <c r="D364" s="2">
        <v>46001</v>
      </c>
      <c r="I364">
        <v>56</v>
      </c>
      <c r="J364">
        <v>0</v>
      </c>
      <c r="L364">
        <v>4250</v>
      </c>
      <c r="O364">
        <v>111</v>
      </c>
      <c r="P364">
        <v>4417</v>
      </c>
      <c r="Q364" t="s">
        <v>76</v>
      </c>
    </row>
    <row r="365" spans="1:17" x14ac:dyDescent="0.3">
      <c r="A365" t="s">
        <v>216</v>
      </c>
      <c r="B365">
        <v>-34.322853000000002</v>
      </c>
      <c r="C365">
        <v>137.49248</v>
      </c>
      <c r="D365" s="2">
        <v>46001</v>
      </c>
      <c r="I365">
        <v>28</v>
      </c>
      <c r="J365">
        <v>0</v>
      </c>
      <c r="K365">
        <v>56</v>
      </c>
      <c r="L365">
        <v>333</v>
      </c>
      <c r="M365">
        <v>28</v>
      </c>
      <c r="O365">
        <v>28</v>
      </c>
      <c r="P365">
        <v>472</v>
      </c>
      <c r="Q365" t="s">
        <v>76</v>
      </c>
    </row>
    <row r="366" spans="1:17" x14ac:dyDescent="0.3">
      <c r="A366" t="s">
        <v>217</v>
      </c>
      <c r="B366">
        <v>-34.377982000000003</v>
      </c>
      <c r="C366">
        <v>137.47515899999999</v>
      </c>
      <c r="D366" s="2">
        <v>46001</v>
      </c>
      <c r="H366">
        <v>167</v>
      </c>
      <c r="I366">
        <v>222</v>
      </c>
      <c r="J366">
        <v>0</v>
      </c>
      <c r="L366">
        <v>333</v>
      </c>
      <c r="M366">
        <v>111</v>
      </c>
      <c r="O366">
        <v>333</v>
      </c>
      <c r="P366">
        <v>1167</v>
      </c>
      <c r="Q366" t="s">
        <v>76</v>
      </c>
    </row>
    <row r="367" spans="1:17" x14ac:dyDescent="0.3">
      <c r="A367" t="s">
        <v>211</v>
      </c>
      <c r="B367">
        <v>-35.515507999999997</v>
      </c>
      <c r="C367">
        <v>138.729004</v>
      </c>
      <c r="D367" s="2">
        <v>46001</v>
      </c>
      <c r="J367">
        <v>0</v>
      </c>
      <c r="L367">
        <v>222</v>
      </c>
      <c r="Q367" t="s">
        <v>186</v>
      </c>
    </row>
    <row r="368" spans="1:17" x14ac:dyDescent="0.3">
      <c r="A368" t="s">
        <v>185</v>
      </c>
      <c r="B368">
        <v>-35.538469999999997</v>
      </c>
      <c r="C368">
        <v>138.649779</v>
      </c>
      <c r="D368" s="2">
        <v>46001</v>
      </c>
      <c r="J368">
        <v>0</v>
      </c>
      <c r="L368">
        <v>0</v>
      </c>
      <c r="Q368" t="s">
        <v>186</v>
      </c>
    </row>
    <row r="369" spans="1:17" x14ac:dyDescent="0.3">
      <c r="A369" t="s">
        <v>91</v>
      </c>
      <c r="B369">
        <v>-35.536168000000004</v>
      </c>
      <c r="C369">
        <v>138.677615</v>
      </c>
      <c r="D369" s="2">
        <v>46001</v>
      </c>
      <c r="J369">
        <v>0</v>
      </c>
      <c r="L369">
        <v>111</v>
      </c>
      <c r="Q369" t="s">
        <v>186</v>
      </c>
    </row>
    <row r="370" spans="1:17" x14ac:dyDescent="0.3">
      <c r="A370" t="s">
        <v>92</v>
      </c>
      <c r="B370">
        <v>-35.634602000000001</v>
      </c>
      <c r="C370">
        <v>138.49898300000001</v>
      </c>
      <c r="D370" s="2">
        <v>46001</v>
      </c>
      <c r="J370">
        <v>0</v>
      </c>
      <c r="L370">
        <v>222</v>
      </c>
      <c r="Q370" t="s">
        <v>186</v>
      </c>
    </row>
    <row r="371" spans="1:17" x14ac:dyDescent="0.3">
      <c r="A371" t="s">
        <v>189</v>
      </c>
      <c r="B371">
        <v>-35.638637000000003</v>
      </c>
      <c r="C371">
        <v>138.31366499999999</v>
      </c>
      <c r="D371" s="2">
        <v>46001</v>
      </c>
      <c r="J371">
        <v>0</v>
      </c>
      <c r="L371">
        <v>111</v>
      </c>
      <c r="Q371" t="s">
        <v>186</v>
      </c>
    </row>
    <row r="372" spans="1:17" x14ac:dyDescent="0.3">
      <c r="A372" t="s">
        <v>223</v>
      </c>
      <c r="B372">
        <v>-35.558100000000003</v>
      </c>
      <c r="C372">
        <v>138.67920000000001</v>
      </c>
      <c r="D372" s="2">
        <v>46001</v>
      </c>
      <c r="J372">
        <v>0</v>
      </c>
      <c r="L372">
        <v>167</v>
      </c>
      <c r="Q372" t="s">
        <v>186</v>
      </c>
    </row>
    <row r="373" spans="1:17" x14ac:dyDescent="0.3">
      <c r="A373" t="s">
        <v>59</v>
      </c>
      <c r="B373">
        <v>-35.084850000000003</v>
      </c>
      <c r="C373">
        <v>137.74889999999999</v>
      </c>
      <c r="D373" s="2">
        <v>46001</v>
      </c>
      <c r="F373">
        <v>0</v>
      </c>
      <c r="G373">
        <v>0</v>
      </c>
      <c r="H373">
        <v>0</v>
      </c>
      <c r="I373">
        <v>28</v>
      </c>
      <c r="J373">
        <v>0</v>
      </c>
      <c r="K373">
        <v>0</v>
      </c>
      <c r="L373">
        <v>84</v>
      </c>
      <c r="N373">
        <v>556</v>
      </c>
      <c r="P373">
        <v>668</v>
      </c>
      <c r="Q373" t="s">
        <v>149</v>
      </c>
    </row>
    <row r="374" spans="1:17" x14ac:dyDescent="0.3">
      <c r="A374" t="s">
        <v>228</v>
      </c>
      <c r="B374">
        <v>-35.093015000000001</v>
      </c>
      <c r="C374">
        <v>137.74703600000001</v>
      </c>
      <c r="D374" s="2">
        <v>46001</v>
      </c>
      <c r="I374">
        <v>167</v>
      </c>
      <c r="J374">
        <v>0</v>
      </c>
      <c r="L374">
        <v>611</v>
      </c>
      <c r="N374">
        <v>1333</v>
      </c>
      <c r="O374">
        <v>333</v>
      </c>
      <c r="P374">
        <v>2444</v>
      </c>
      <c r="Q374" t="s">
        <v>218</v>
      </c>
    </row>
    <row r="375" spans="1:17" x14ac:dyDescent="0.3">
      <c r="A375" t="s">
        <v>100</v>
      </c>
      <c r="B375">
        <v>-35.536745000000003</v>
      </c>
      <c r="C375">
        <v>138.6913744</v>
      </c>
      <c r="D375" s="2">
        <v>46001</v>
      </c>
      <c r="G375">
        <v>389</v>
      </c>
      <c r="H375">
        <v>111</v>
      </c>
      <c r="I375">
        <v>333</v>
      </c>
      <c r="J375">
        <v>0</v>
      </c>
      <c r="L375">
        <v>444</v>
      </c>
      <c r="N375">
        <v>222</v>
      </c>
      <c r="O375">
        <v>556</v>
      </c>
      <c r="P375">
        <v>2055</v>
      </c>
      <c r="Q375" t="s">
        <v>129</v>
      </c>
    </row>
    <row r="376" spans="1:17" x14ac:dyDescent="0.3">
      <c r="A376" t="s">
        <v>87</v>
      </c>
      <c r="B376">
        <v>-35.573300000000003</v>
      </c>
      <c r="C376">
        <v>138.64250000000001</v>
      </c>
      <c r="D376" s="2">
        <v>46001</v>
      </c>
      <c r="G376">
        <v>56</v>
      </c>
      <c r="J376">
        <v>0</v>
      </c>
      <c r="L376">
        <v>167</v>
      </c>
      <c r="N376">
        <v>389</v>
      </c>
      <c r="O376">
        <v>389</v>
      </c>
      <c r="P376">
        <v>1001</v>
      </c>
      <c r="Q376" t="s">
        <v>129</v>
      </c>
    </row>
    <row r="377" spans="1:17" x14ac:dyDescent="0.3">
      <c r="A377" t="s">
        <v>88</v>
      </c>
      <c r="B377">
        <v>-35.581124000000003</v>
      </c>
      <c r="C377">
        <v>138.60879700000001</v>
      </c>
      <c r="D377" s="2">
        <v>46001</v>
      </c>
      <c r="G377">
        <v>56</v>
      </c>
      <c r="H377">
        <v>56</v>
      </c>
      <c r="I377">
        <v>56</v>
      </c>
      <c r="J377">
        <v>0</v>
      </c>
      <c r="L377">
        <v>56</v>
      </c>
      <c r="N377">
        <v>389</v>
      </c>
      <c r="O377">
        <v>500</v>
      </c>
      <c r="P377">
        <v>1113</v>
      </c>
      <c r="Q377" t="s">
        <v>129</v>
      </c>
    </row>
    <row r="378" spans="1:17" x14ac:dyDescent="0.3">
      <c r="A378" t="s">
        <v>295</v>
      </c>
      <c r="B378">
        <v>-35.6048446</v>
      </c>
      <c r="C378">
        <v>138.59278499999999</v>
      </c>
      <c r="D378" s="2">
        <v>46001</v>
      </c>
      <c r="I378">
        <v>56</v>
      </c>
      <c r="J378">
        <v>0</v>
      </c>
      <c r="L378">
        <v>333</v>
      </c>
      <c r="N378">
        <v>444</v>
      </c>
      <c r="O378">
        <v>389</v>
      </c>
      <c r="P378">
        <v>1222</v>
      </c>
      <c r="Q378" t="s">
        <v>129</v>
      </c>
    </row>
    <row r="379" spans="1:17" x14ac:dyDescent="0.3">
      <c r="A379" t="s">
        <v>296</v>
      </c>
      <c r="B379">
        <v>-35.608333000000002</v>
      </c>
      <c r="C379">
        <v>138.58750000000001</v>
      </c>
      <c r="D379" s="2">
        <v>46001</v>
      </c>
      <c r="I379">
        <v>56</v>
      </c>
      <c r="J379">
        <v>0</v>
      </c>
      <c r="L379">
        <v>1222</v>
      </c>
      <c r="N379">
        <v>500</v>
      </c>
      <c r="O379">
        <v>667</v>
      </c>
      <c r="P379">
        <v>2445</v>
      </c>
      <c r="Q379" t="s">
        <v>129</v>
      </c>
    </row>
    <row r="380" spans="1:17" x14ac:dyDescent="0.3">
      <c r="A380" t="s">
        <v>174</v>
      </c>
      <c r="B380">
        <v>-35.612285999999997</v>
      </c>
      <c r="C380">
        <v>138.564302</v>
      </c>
      <c r="D380" s="2">
        <v>46001</v>
      </c>
      <c r="J380">
        <v>0</v>
      </c>
      <c r="L380">
        <v>222</v>
      </c>
      <c r="N380">
        <v>167</v>
      </c>
      <c r="O380">
        <v>222</v>
      </c>
      <c r="P380">
        <v>611</v>
      </c>
      <c r="Q380" t="s">
        <v>129</v>
      </c>
    </row>
    <row r="381" spans="1:17" x14ac:dyDescent="0.3">
      <c r="A381" t="s">
        <v>297</v>
      </c>
      <c r="B381">
        <v>-35.63158</v>
      </c>
      <c r="C381">
        <v>138.56762000000001</v>
      </c>
      <c r="D381" s="2">
        <v>46001</v>
      </c>
      <c r="I381">
        <v>56</v>
      </c>
      <c r="J381">
        <v>0</v>
      </c>
      <c r="L381">
        <v>167</v>
      </c>
      <c r="N381">
        <v>500</v>
      </c>
      <c r="O381">
        <v>722</v>
      </c>
      <c r="P381">
        <v>1445</v>
      </c>
      <c r="Q381" t="s">
        <v>129</v>
      </c>
    </row>
    <row r="382" spans="1:17" x14ac:dyDescent="0.3">
      <c r="A382" t="s">
        <v>298</v>
      </c>
      <c r="B382">
        <v>-35.61</v>
      </c>
      <c r="C382">
        <v>138.5925</v>
      </c>
      <c r="D382" s="2">
        <v>46001</v>
      </c>
      <c r="I382">
        <v>111</v>
      </c>
      <c r="J382">
        <v>0</v>
      </c>
      <c r="L382">
        <v>944</v>
      </c>
      <c r="N382">
        <v>389</v>
      </c>
      <c r="O382">
        <v>944</v>
      </c>
      <c r="P382">
        <v>2388</v>
      </c>
      <c r="Q382" t="s">
        <v>129</v>
      </c>
    </row>
    <row r="383" spans="1:17" x14ac:dyDescent="0.3">
      <c r="A383" t="s">
        <v>79</v>
      </c>
      <c r="B383">
        <v>-34.804169999999999</v>
      </c>
      <c r="C383">
        <v>138.53970000000001</v>
      </c>
      <c r="D383" s="2">
        <v>46003</v>
      </c>
      <c r="E383" s="20">
        <v>0.6875</v>
      </c>
      <c r="F383">
        <v>0</v>
      </c>
      <c r="H383">
        <v>0</v>
      </c>
      <c r="I383">
        <v>0.4</v>
      </c>
      <c r="J383">
        <v>0</v>
      </c>
      <c r="L383">
        <v>2.5</v>
      </c>
      <c r="M383">
        <v>5.0000000000000001E-3</v>
      </c>
      <c r="O383">
        <v>1.3</v>
      </c>
      <c r="P383">
        <v>4.2050000000000001</v>
      </c>
      <c r="Q383" t="s">
        <v>78</v>
      </c>
    </row>
    <row r="384" spans="1:17" x14ac:dyDescent="0.3">
      <c r="A384" t="s">
        <v>235</v>
      </c>
      <c r="B384">
        <v>-34.940480000000001</v>
      </c>
      <c r="C384">
        <v>138.49844100000001</v>
      </c>
      <c r="D384" s="2">
        <v>46003</v>
      </c>
      <c r="E384" s="20">
        <v>0.67291666666666672</v>
      </c>
      <c r="F384">
        <v>0</v>
      </c>
      <c r="G384">
        <v>0</v>
      </c>
      <c r="H384">
        <v>0</v>
      </c>
      <c r="I384">
        <v>10.5</v>
      </c>
      <c r="J384">
        <v>0.75</v>
      </c>
      <c r="L384">
        <v>16.8</v>
      </c>
      <c r="M384">
        <v>7.4999999999999997E-3</v>
      </c>
      <c r="O384">
        <v>4.3499999999999996</v>
      </c>
      <c r="P384">
        <v>32.407499999999999</v>
      </c>
      <c r="Q384" t="s">
        <v>78</v>
      </c>
    </row>
    <row r="385" spans="1:17" x14ac:dyDescent="0.3">
      <c r="A385" t="s">
        <v>85</v>
      </c>
      <c r="B385">
        <v>-34.873939999999997</v>
      </c>
      <c r="C385">
        <v>138.48820000000001</v>
      </c>
      <c r="D385" s="2">
        <v>46003</v>
      </c>
      <c r="E385" s="20">
        <v>0.65902777777777777</v>
      </c>
      <c r="I385">
        <v>5</v>
      </c>
      <c r="J385">
        <v>0</v>
      </c>
      <c r="L385">
        <v>0.67500000000000004</v>
      </c>
      <c r="O385">
        <v>0.7</v>
      </c>
      <c r="P385">
        <v>6.375</v>
      </c>
      <c r="Q385" t="s">
        <v>78</v>
      </c>
    </row>
    <row r="386" spans="1:17" x14ac:dyDescent="0.3">
      <c r="A386" t="s">
        <v>229</v>
      </c>
      <c r="B386">
        <v>-35.081918000000002</v>
      </c>
      <c r="C386">
        <v>137.74822499999999</v>
      </c>
      <c r="D386" s="2">
        <v>46003</v>
      </c>
      <c r="I386">
        <v>389</v>
      </c>
      <c r="J386">
        <v>0</v>
      </c>
      <c r="L386">
        <v>56</v>
      </c>
      <c r="N386">
        <v>1611</v>
      </c>
      <c r="O386">
        <v>334</v>
      </c>
      <c r="P386">
        <v>2389</v>
      </c>
      <c r="Q386" t="s">
        <v>218</v>
      </c>
    </row>
    <row r="387" spans="1:17" x14ac:dyDescent="0.3">
      <c r="A387" t="s">
        <v>230</v>
      </c>
      <c r="B387">
        <v>-35.054707999999998</v>
      </c>
      <c r="C387">
        <v>137.725145</v>
      </c>
      <c r="D387" s="2">
        <v>46003</v>
      </c>
      <c r="I387">
        <v>203847</v>
      </c>
      <c r="J387">
        <v>0</v>
      </c>
      <c r="L387">
        <v>1111</v>
      </c>
      <c r="O387">
        <v>1111</v>
      </c>
      <c r="P387">
        <v>205403</v>
      </c>
      <c r="Q387" t="s">
        <v>218</v>
      </c>
    </row>
    <row r="388" spans="1:17" x14ac:dyDescent="0.3">
      <c r="A388" s="10" t="s">
        <v>225</v>
      </c>
      <c r="B388" s="10">
        <v>-35.586970000000001</v>
      </c>
      <c r="C388" s="10">
        <v>137.5438748</v>
      </c>
      <c r="D388" s="2">
        <v>46004</v>
      </c>
      <c r="F388" s="10">
        <v>0</v>
      </c>
      <c r="G388" s="10">
        <v>0</v>
      </c>
      <c r="H388" s="10">
        <v>0</v>
      </c>
      <c r="I388" s="10">
        <v>94</v>
      </c>
      <c r="J388" s="10">
        <v>94</v>
      </c>
      <c r="K388" s="10">
        <v>0</v>
      </c>
      <c r="L388" s="10">
        <v>0</v>
      </c>
      <c r="M388" s="10">
        <v>0</v>
      </c>
      <c r="N388" s="10">
        <v>0</v>
      </c>
      <c r="O388" s="10">
        <v>1991</v>
      </c>
      <c r="P388" s="10">
        <v>2085</v>
      </c>
      <c r="Q388" s="10" t="s">
        <v>151</v>
      </c>
    </row>
    <row r="389" spans="1:17" x14ac:dyDescent="0.3">
      <c r="A389" s="10" t="s">
        <v>226</v>
      </c>
      <c r="B389" s="10">
        <v>-35.586869999999998</v>
      </c>
      <c r="C389" s="10">
        <v>137.5438748</v>
      </c>
      <c r="D389" s="2">
        <v>46004</v>
      </c>
      <c r="F389" s="10">
        <v>0</v>
      </c>
      <c r="G389" s="10">
        <v>0</v>
      </c>
      <c r="H389" s="10">
        <v>0</v>
      </c>
      <c r="I389" s="10">
        <v>113</v>
      </c>
      <c r="J389" s="10">
        <v>113</v>
      </c>
      <c r="K389" s="10">
        <v>0</v>
      </c>
      <c r="L389" s="10">
        <v>0</v>
      </c>
      <c r="M389" s="10">
        <v>0</v>
      </c>
      <c r="N389" s="10">
        <v>0</v>
      </c>
      <c r="O389" s="10">
        <v>2398</v>
      </c>
      <c r="P389" s="10">
        <v>2511</v>
      </c>
      <c r="Q389" s="10" t="s">
        <v>151</v>
      </c>
    </row>
    <row r="390" spans="1:17" x14ac:dyDescent="0.3">
      <c r="A390" t="s">
        <v>231</v>
      </c>
      <c r="B390">
        <v>-35.115375999999998</v>
      </c>
      <c r="C390">
        <v>137.75711699999999</v>
      </c>
      <c r="D390" s="2">
        <v>46005</v>
      </c>
      <c r="I390">
        <v>1555</v>
      </c>
      <c r="J390">
        <v>0</v>
      </c>
      <c r="L390">
        <v>333</v>
      </c>
      <c r="N390">
        <v>2000</v>
      </c>
      <c r="O390">
        <v>556</v>
      </c>
      <c r="P390">
        <v>4444</v>
      </c>
      <c r="Q390" t="s">
        <v>218</v>
      </c>
    </row>
    <row r="391" spans="1:17" x14ac:dyDescent="0.3">
      <c r="A391" t="s">
        <v>233</v>
      </c>
      <c r="B391">
        <v>-35.465475320000003</v>
      </c>
      <c r="C391">
        <v>137.46179395999999</v>
      </c>
      <c r="D391" s="2">
        <v>46005</v>
      </c>
      <c r="F391">
        <v>0</v>
      </c>
      <c r="G391">
        <v>0</v>
      </c>
      <c r="H391">
        <v>0</v>
      </c>
      <c r="I391">
        <v>807</v>
      </c>
      <c r="J391">
        <v>0</v>
      </c>
      <c r="K391">
        <v>0</v>
      </c>
      <c r="L391">
        <v>15</v>
      </c>
      <c r="M391">
        <v>0</v>
      </c>
      <c r="N391">
        <v>0</v>
      </c>
      <c r="O391">
        <v>15956</v>
      </c>
      <c r="P391">
        <v>16778</v>
      </c>
      <c r="Q391" t="s">
        <v>151</v>
      </c>
    </row>
    <row r="392" spans="1:17" x14ac:dyDescent="0.3">
      <c r="A392" t="s">
        <v>207</v>
      </c>
      <c r="B392">
        <v>-35.788755899999998</v>
      </c>
      <c r="C392">
        <v>137.78784780000001</v>
      </c>
      <c r="D392" s="2">
        <v>46007</v>
      </c>
      <c r="F392">
        <v>0</v>
      </c>
      <c r="G392">
        <v>0</v>
      </c>
      <c r="H392">
        <v>0</v>
      </c>
      <c r="I392">
        <v>4667</v>
      </c>
      <c r="J392">
        <v>4667</v>
      </c>
      <c r="K392">
        <v>0</v>
      </c>
      <c r="L392">
        <v>4</v>
      </c>
      <c r="M392">
        <v>0</v>
      </c>
      <c r="N392">
        <v>0</v>
      </c>
      <c r="O392">
        <v>1</v>
      </c>
      <c r="P392">
        <v>4672</v>
      </c>
      <c r="Q392" t="s">
        <v>151</v>
      </c>
    </row>
    <row r="393" spans="1:17" x14ac:dyDescent="0.3">
      <c r="A393" t="s">
        <v>227</v>
      </c>
      <c r="B393">
        <v>-35.784914800000003</v>
      </c>
      <c r="C393">
        <v>137.7809867</v>
      </c>
      <c r="D393" s="2">
        <v>46007</v>
      </c>
      <c r="F393">
        <v>0</v>
      </c>
      <c r="G393">
        <v>0</v>
      </c>
      <c r="H393">
        <v>0</v>
      </c>
      <c r="I393">
        <v>40111</v>
      </c>
      <c r="J393">
        <v>40111</v>
      </c>
      <c r="K393">
        <v>0</v>
      </c>
      <c r="L393">
        <v>222</v>
      </c>
      <c r="M393">
        <v>0</v>
      </c>
      <c r="N393">
        <v>0</v>
      </c>
      <c r="O393">
        <v>0</v>
      </c>
      <c r="P393">
        <v>40333</v>
      </c>
      <c r="Q393" t="s">
        <v>151</v>
      </c>
    </row>
    <row r="394" spans="1:17" x14ac:dyDescent="0.3">
      <c r="A394" t="s">
        <v>230</v>
      </c>
      <c r="B394">
        <v>-35.054707999999998</v>
      </c>
      <c r="C394">
        <v>137.725145</v>
      </c>
      <c r="D394" s="2">
        <v>46007</v>
      </c>
      <c r="I394">
        <v>369500</v>
      </c>
      <c r="J394">
        <v>0</v>
      </c>
      <c r="L394">
        <v>26500</v>
      </c>
      <c r="P394">
        <v>396000</v>
      </c>
      <c r="Q394" t="s">
        <v>218</v>
      </c>
    </row>
    <row r="395" spans="1:17" x14ac:dyDescent="0.3">
      <c r="A395" t="s">
        <v>232</v>
      </c>
      <c r="B395">
        <v>-35.082030000000003</v>
      </c>
      <c r="C395">
        <v>137.7484</v>
      </c>
      <c r="D395" s="2">
        <v>46008</v>
      </c>
      <c r="F395">
        <v>0</v>
      </c>
      <c r="G395">
        <v>0</v>
      </c>
      <c r="H395">
        <v>7778</v>
      </c>
      <c r="I395">
        <v>555</v>
      </c>
      <c r="J395">
        <v>0</v>
      </c>
      <c r="K395">
        <v>0</v>
      </c>
      <c r="L395">
        <v>222</v>
      </c>
      <c r="M395">
        <v>0</v>
      </c>
      <c r="N395">
        <v>2333</v>
      </c>
      <c r="O395">
        <v>0</v>
      </c>
      <c r="P395">
        <v>10888</v>
      </c>
      <c r="Q395" t="s">
        <v>149</v>
      </c>
    </row>
    <row r="396" spans="1:17" x14ac:dyDescent="0.3">
      <c r="A396" t="s">
        <v>37</v>
      </c>
      <c r="B396">
        <v>-34.289369999999998</v>
      </c>
      <c r="C396">
        <v>138.01242999999999</v>
      </c>
      <c r="D396" s="2">
        <v>46008</v>
      </c>
      <c r="F396">
        <v>0</v>
      </c>
      <c r="G396">
        <v>0</v>
      </c>
      <c r="H396">
        <v>278</v>
      </c>
      <c r="I396">
        <v>222</v>
      </c>
      <c r="J396">
        <v>0</v>
      </c>
      <c r="K396">
        <v>0</v>
      </c>
      <c r="L396">
        <v>500</v>
      </c>
      <c r="M396">
        <v>0</v>
      </c>
      <c r="N396">
        <v>0</v>
      </c>
      <c r="O396">
        <v>0</v>
      </c>
      <c r="P396">
        <v>1000</v>
      </c>
      <c r="Q396" t="s">
        <v>76</v>
      </c>
    </row>
    <row r="397" spans="1:17" x14ac:dyDescent="0.3">
      <c r="A397" t="s">
        <v>207</v>
      </c>
      <c r="B397">
        <v>-35.788755899999998</v>
      </c>
      <c r="C397">
        <v>137.78784780000001</v>
      </c>
      <c r="D397" s="2">
        <v>46010</v>
      </c>
      <c r="F397">
        <v>111</v>
      </c>
      <c r="G397">
        <v>0</v>
      </c>
      <c r="H397">
        <v>888</v>
      </c>
      <c r="I397">
        <v>8111</v>
      </c>
      <c r="J397">
        <v>0</v>
      </c>
      <c r="K397">
        <v>111</v>
      </c>
      <c r="L397">
        <v>111</v>
      </c>
      <c r="M397">
        <v>0</v>
      </c>
      <c r="N397">
        <v>333</v>
      </c>
      <c r="O397">
        <v>111</v>
      </c>
      <c r="P397">
        <v>9776</v>
      </c>
      <c r="Q397" t="s">
        <v>151</v>
      </c>
    </row>
    <row r="398" spans="1:17" x14ac:dyDescent="0.3">
      <c r="A398" t="s">
        <v>230</v>
      </c>
      <c r="B398">
        <v>-35.054707999999998</v>
      </c>
      <c r="C398">
        <v>137.725145</v>
      </c>
      <c r="D398" s="2">
        <v>46010</v>
      </c>
      <c r="I398">
        <v>147333</v>
      </c>
      <c r="J398">
        <v>0</v>
      </c>
      <c r="L398">
        <v>1667</v>
      </c>
      <c r="O398">
        <v>1500</v>
      </c>
      <c r="P398">
        <v>150500</v>
      </c>
      <c r="Q398" t="s">
        <v>218</v>
      </c>
    </row>
    <row r="399" spans="1:17" x14ac:dyDescent="0.3">
      <c r="A399" t="s">
        <v>229</v>
      </c>
      <c r="B399">
        <v>-35.081918000000002</v>
      </c>
      <c r="C399">
        <v>137.74822499999999</v>
      </c>
      <c r="D399" s="2">
        <v>46010</v>
      </c>
      <c r="I399">
        <v>1556</v>
      </c>
      <c r="J399">
        <v>0</v>
      </c>
      <c r="L399">
        <v>500</v>
      </c>
      <c r="N399">
        <v>1389</v>
      </c>
      <c r="O399">
        <v>333</v>
      </c>
      <c r="P399">
        <v>3778</v>
      </c>
      <c r="Q399" t="s">
        <v>218</v>
      </c>
    </row>
    <row r="400" spans="1:17" ht="12" customHeight="1" x14ac:dyDescent="0.3">
      <c r="A400" t="s">
        <v>79</v>
      </c>
      <c r="B400">
        <v>-34.804169999999999</v>
      </c>
      <c r="C400">
        <v>138.53970000000001</v>
      </c>
      <c r="D400" s="2">
        <v>46011</v>
      </c>
      <c r="E400" s="20">
        <v>0.65972222222222221</v>
      </c>
      <c r="F400">
        <v>0</v>
      </c>
      <c r="G400">
        <v>2.75E-2</v>
      </c>
      <c r="H400">
        <v>5.0000000000000001E-3</v>
      </c>
      <c r="I400">
        <v>0.22</v>
      </c>
      <c r="J400">
        <v>0</v>
      </c>
      <c r="L400">
        <v>1.2829999999999999</v>
      </c>
      <c r="M400">
        <v>0</v>
      </c>
      <c r="N400">
        <v>0</v>
      </c>
      <c r="O400">
        <v>1.393</v>
      </c>
      <c r="P400">
        <v>2.9284999999999997</v>
      </c>
      <c r="Q400" t="s">
        <v>78</v>
      </c>
    </row>
    <row r="401" spans="1:17" ht="12" customHeight="1" x14ac:dyDescent="0.3">
      <c r="A401" t="s">
        <v>235</v>
      </c>
      <c r="B401">
        <v>-34.824044999999998</v>
      </c>
      <c r="C401">
        <v>138.48377600000001</v>
      </c>
      <c r="D401" s="2">
        <v>46011</v>
      </c>
      <c r="E401" s="20">
        <v>0.6875</v>
      </c>
      <c r="F401">
        <v>0</v>
      </c>
      <c r="G401">
        <v>0.8</v>
      </c>
      <c r="H401">
        <v>0</v>
      </c>
      <c r="I401">
        <v>9</v>
      </c>
      <c r="J401">
        <v>0.6</v>
      </c>
      <c r="L401">
        <v>8.1999999999999993</v>
      </c>
      <c r="M401">
        <v>0</v>
      </c>
      <c r="N401">
        <v>0.5</v>
      </c>
      <c r="O401">
        <v>0.2</v>
      </c>
      <c r="P401">
        <v>18.7</v>
      </c>
      <c r="Q401" t="s">
        <v>78</v>
      </c>
    </row>
    <row r="402" spans="1:17" ht="12" customHeight="1" x14ac:dyDescent="0.3">
      <c r="A402" t="s">
        <v>207</v>
      </c>
      <c r="B402">
        <v>-35.788755899999998</v>
      </c>
      <c r="C402">
        <v>137.78784780000001</v>
      </c>
      <c r="D402" s="2">
        <v>46011</v>
      </c>
      <c r="F402">
        <v>111</v>
      </c>
      <c r="G402">
        <v>1222</v>
      </c>
      <c r="H402">
        <v>0</v>
      </c>
      <c r="I402">
        <v>34444</v>
      </c>
      <c r="J402">
        <v>0</v>
      </c>
      <c r="K402">
        <v>2222</v>
      </c>
      <c r="L402">
        <v>333</v>
      </c>
      <c r="M402">
        <v>0</v>
      </c>
      <c r="N402">
        <v>2000</v>
      </c>
      <c r="O402">
        <v>223</v>
      </c>
      <c r="P402">
        <v>40555</v>
      </c>
      <c r="Q402" t="s">
        <v>151</v>
      </c>
    </row>
    <row r="403" spans="1:17" x14ac:dyDescent="0.3">
      <c r="A403" t="s">
        <v>208</v>
      </c>
      <c r="B403">
        <v>-35.671777499999997</v>
      </c>
      <c r="C403">
        <v>137.6137956</v>
      </c>
      <c r="D403" s="2">
        <v>46013</v>
      </c>
      <c r="F403">
        <v>222</v>
      </c>
      <c r="G403">
        <v>1222</v>
      </c>
      <c r="H403">
        <v>0</v>
      </c>
      <c r="I403">
        <v>1778</v>
      </c>
      <c r="J403">
        <v>0</v>
      </c>
      <c r="K403">
        <v>222</v>
      </c>
      <c r="L403">
        <v>6111</v>
      </c>
      <c r="M403">
        <v>666</v>
      </c>
      <c r="N403">
        <v>6889</v>
      </c>
      <c r="O403">
        <v>0</v>
      </c>
      <c r="P403">
        <v>17110</v>
      </c>
      <c r="Q403" t="s">
        <v>151</v>
      </c>
    </row>
    <row r="404" spans="1:17" x14ac:dyDescent="0.3">
      <c r="A404" t="s">
        <v>230</v>
      </c>
      <c r="B404">
        <v>-35.054707999999998</v>
      </c>
      <c r="C404">
        <v>137.725145</v>
      </c>
      <c r="D404" s="2">
        <v>46017</v>
      </c>
      <c r="I404">
        <v>57250</v>
      </c>
      <c r="J404">
        <v>0</v>
      </c>
      <c r="L404">
        <v>21500</v>
      </c>
      <c r="N404">
        <v>7250</v>
      </c>
      <c r="O404">
        <v>2000</v>
      </c>
      <c r="P404">
        <v>88000</v>
      </c>
      <c r="Q404" t="s">
        <v>218</v>
      </c>
    </row>
    <row r="405" spans="1:17" x14ac:dyDescent="0.3">
      <c r="A405" t="s">
        <v>197</v>
      </c>
      <c r="B405">
        <v>-35.793615000000003</v>
      </c>
      <c r="C405">
        <v>137.85449840000001</v>
      </c>
      <c r="D405" s="2">
        <v>46017</v>
      </c>
      <c r="F405">
        <v>0</v>
      </c>
      <c r="G405">
        <v>0</v>
      </c>
      <c r="H405">
        <v>0</v>
      </c>
      <c r="I405">
        <v>2222</v>
      </c>
      <c r="J405">
        <v>0</v>
      </c>
      <c r="K405">
        <v>0</v>
      </c>
      <c r="L405">
        <v>1111</v>
      </c>
      <c r="M405">
        <v>222</v>
      </c>
      <c r="N405">
        <v>2222</v>
      </c>
      <c r="O405">
        <v>0</v>
      </c>
      <c r="P405">
        <v>8444</v>
      </c>
      <c r="Q405" t="s">
        <v>151</v>
      </c>
    </row>
    <row r="406" spans="1:17" x14ac:dyDescent="0.3">
      <c r="A406" t="s">
        <v>234</v>
      </c>
      <c r="B406">
        <v>-35.654400000000003</v>
      </c>
      <c r="C406">
        <v>138.15520000000001</v>
      </c>
      <c r="D406" s="2">
        <v>46017</v>
      </c>
      <c r="J406">
        <v>0</v>
      </c>
      <c r="Q406" t="s">
        <v>186</v>
      </c>
    </row>
    <row r="407" spans="1:17" x14ac:dyDescent="0.3">
      <c r="A407" t="s">
        <v>236</v>
      </c>
      <c r="B407">
        <v>-35.371586999999998</v>
      </c>
      <c r="C407">
        <v>138.387067</v>
      </c>
      <c r="D407" s="2">
        <v>46018</v>
      </c>
      <c r="E407" s="20">
        <v>0.39583333333333331</v>
      </c>
      <c r="F407">
        <v>0</v>
      </c>
      <c r="G407">
        <v>0.03</v>
      </c>
      <c r="H407">
        <v>0</v>
      </c>
      <c r="I407">
        <v>2.4300000000000002</v>
      </c>
      <c r="J407">
        <v>0.03</v>
      </c>
      <c r="K407">
        <v>0</v>
      </c>
      <c r="L407">
        <v>1.53</v>
      </c>
      <c r="M407">
        <v>0</v>
      </c>
      <c r="N407">
        <v>0.06</v>
      </c>
      <c r="O407">
        <v>0</v>
      </c>
      <c r="P407">
        <v>4.05</v>
      </c>
      <c r="Q407" t="s">
        <v>78</v>
      </c>
    </row>
    <row r="408" spans="1:17" x14ac:dyDescent="0.3">
      <c r="A408" t="s">
        <v>237</v>
      </c>
      <c r="B408">
        <v>-35.017930999999997</v>
      </c>
      <c r="C408">
        <v>138.51365200000001</v>
      </c>
      <c r="D408" s="2">
        <v>46018</v>
      </c>
      <c r="E408" s="20">
        <v>0.44027777777777777</v>
      </c>
      <c r="F408">
        <v>0</v>
      </c>
      <c r="G408">
        <v>0</v>
      </c>
      <c r="H408">
        <v>0</v>
      </c>
      <c r="I408">
        <v>3.7</v>
      </c>
      <c r="J408">
        <v>0.1</v>
      </c>
      <c r="K408">
        <v>0</v>
      </c>
      <c r="L408">
        <v>11.7</v>
      </c>
      <c r="M408">
        <v>0</v>
      </c>
      <c r="N408">
        <v>0</v>
      </c>
      <c r="O408">
        <v>0</v>
      </c>
      <c r="P408">
        <v>15.4</v>
      </c>
      <c r="Q408" t="s">
        <v>78</v>
      </c>
    </row>
    <row r="409" spans="1:17" x14ac:dyDescent="0.3">
      <c r="A409" t="s">
        <v>282</v>
      </c>
      <c r="B409">
        <v>-33.677014</v>
      </c>
      <c r="C409">
        <v>136.940879</v>
      </c>
      <c r="D409" s="2">
        <v>46018</v>
      </c>
      <c r="I409">
        <v>667</v>
      </c>
      <c r="J409">
        <v>0</v>
      </c>
      <c r="L409">
        <v>1778</v>
      </c>
      <c r="O409">
        <v>111</v>
      </c>
      <c r="P409">
        <v>2556</v>
      </c>
      <c r="Q409" t="s">
        <v>283</v>
      </c>
    </row>
    <row r="410" spans="1:17" x14ac:dyDescent="0.3">
      <c r="A410" t="s">
        <v>238</v>
      </c>
      <c r="B410">
        <v>-35.032207</v>
      </c>
      <c r="C410">
        <v>138.51583500000001</v>
      </c>
      <c r="D410" s="2">
        <v>46019</v>
      </c>
      <c r="E410" s="20">
        <v>0.46875</v>
      </c>
      <c r="F410">
        <v>0</v>
      </c>
      <c r="G410">
        <v>0.12</v>
      </c>
      <c r="H410">
        <v>0</v>
      </c>
      <c r="I410">
        <v>3.15</v>
      </c>
      <c r="J410">
        <v>0.03</v>
      </c>
      <c r="K410">
        <v>0</v>
      </c>
      <c r="L410">
        <v>3.24</v>
      </c>
      <c r="M410">
        <v>0</v>
      </c>
      <c r="N410">
        <v>30</v>
      </c>
      <c r="O410">
        <v>0</v>
      </c>
      <c r="P410">
        <v>36.51</v>
      </c>
      <c r="Q410" t="s">
        <v>78</v>
      </c>
    </row>
    <row r="411" spans="1:17" x14ac:dyDescent="0.3">
      <c r="A411" t="s">
        <v>270</v>
      </c>
      <c r="B411">
        <v>-34.765895999999998</v>
      </c>
      <c r="C411">
        <v>137.86211299999999</v>
      </c>
      <c r="D411" s="2">
        <v>46019</v>
      </c>
      <c r="I411">
        <v>444</v>
      </c>
      <c r="J411">
        <v>0</v>
      </c>
      <c r="L411">
        <v>444</v>
      </c>
      <c r="N411">
        <v>1889</v>
      </c>
      <c r="O411">
        <v>944</v>
      </c>
      <c r="P411">
        <v>3277</v>
      </c>
      <c r="Q411" t="s">
        <v>218</v>
      </c>
    </row>
    <row r="412" spans="1:17" x14ac:dyDescent="0.3">
      <c r="A412" t="s">
        <v>271</v>
      </c>
      <c r="B412">
        <v>-34.765996000000001</v>
      </c>
      <c r="C412">
        <v>137.86211299999999</v>
      </c>
      <c r="D412" s="2">
        <v>46019</v>
      </c>
      <c r="I412">
        <v>333</v>
      </c>
      <c r="J412">
        <v>0</v>
      </c>
      <c r="L412">
        <v>278</v>
      </c>
      <c r="N412">
        <v>1611</v>
      </c>
      <c r="O412">
        <v>1000</v>
      </c>
      <c r="P412">
        <v>3222</v>
      </c>
      <c r="Q412" t="s">
        <v>218</v>
      </c>
    </row>
    <row r="413" spans="1:17" x14ac:dyDescent="0.3">
      <c r="A413" t="s">
        <v>94</v>
      </c>
      <c r="B413">
        <v>-35.58858</v>
      </c>
      <c r="C413">
        <v>138.60474600000001</v>
      </c>
      <c r="D413" s="2">
        <v>46019</v>
      </c>
      <c r="G413">
        <v>56</v>
      </c>
      <c r="I413">
        <v>111</v>
      </c>
      <c r="J413">
        <v>0</v>
      </c>
      <c r="K413">
        <v>56</v>
      </c>
      <c r="L413">
        <v>167</v>
      </c>
      <c r="N413">
        <v>333</v>
      </c>
      <c r="O413">
        <v>222</v>
      </c>
      <c r="P413">
        <v>945</v>
      </c>
      <c r="Q413" t="s">
        <v>129</v>
      </c>
    </row>
    <row r="414" spans="1:17" x14ac:dyDescent="0.3">
      <c r="A414" t="s">
        <v>89</v>
      </c>
      <c r="B414">
        <v>-35.6048446</v>
      </c>
      <c r="C414">
        <v>138.59278499999999</v>
      </c>
      <c r="D414" s="2">
        <v>46019</v>
      </c>
      <c r="J414">
        <v>0</v>
      </c>
      <c r="L414">
        <v>56</v>
      </c>
      <c r="N414">
        <v>111</v>
      </c>
      <c r="O414">
        <v>222</v>
      </c>
      <c r="P414">
        <v>389</v>
      </c>
      <c r="Q414" t="s">
        <v>129</v>
      </c>
    </row>
    <row r="415" spans="1:17" x14ac:dyDescent="0.3">
      <c r="A415" t="s">
        <v>211</v>
      </c>
      <c r="B415">
        <v>-35.515507999999997</v>
      </c>
      <c r="C415">
        <v>138.729004</v>
      </c>
      <c r="D415" s="2">
        <v>46020</v>
      </c>
      <c r="J415">
        <v>0</v>
      </c>
      <c r="Q415" t="s">
        <v>186</v>
      </c>
    </row>
    <row r="416" spans="1:17" x14ac:dyDescent="0.3">
      <c r="A416" t="s">
        <v>185</v>
      </c>
      <c r="B416">
        <v>-35.538469999999997</v>
      </c>
      <c r="C416">
        <v>138.649779</v>
      </c>
      <c r="D416" s="2">
        <v>46020</v>
      </c>
      <c r="J416">
        <v>0</v>
      </c>
      <c r="Q416" t="s">
        <v>186</v>
      </c>
    </row>
    <row r="417" spans="1:17" x14ac:dyDescent="0.3">
      <c r="A417" t="s">
        <v>91</v>
      </c>
      <c r="B417">
        <v>-35.536168000000004</v>
      </c>
      <c r="C417">
        <v>138.677615</v>
      </c>
      <c r="D417" s="2">
        <v>46020</v>
      </c>
      <c r="J417">
        <v>0</v>
      </c>
      <c r="Q417" t="s">
        <v>186</v>
      </c>
    </row>
    <row r="418" spans="1:17" x14ac:dyDescent="0.3">
      <c r="A418" t="s">
        <v>188</v>
      </c>
      <c r="B418">
        <v>-35.592393000000001</v>
      </c>
      <c r="C418">
        <v>138.599706</v>
      </c>
      <c r="D418" s="2">
        <v>46020</v>
      </c>
      <c r="J418">
        <v>0</v>
      </c>
      <c r="Q418" t="s">
        <v>186</v>
      </c>
    </row>
    <row r="419" spans="1:17" x14ac:dyDescent="0.3">
      <c r="A419" t="s">
        <v>92</v>
      </c>
      <c r="B419">
        <v>-35.634602000000001</v>
      </c>
      <c r="C419">
        <v>138.49898300000001</v>
      </c>
      <c r="D419" s="2">
        <v>46020</v>
      </c>
      <c r="J419">
        <v>0</v>
      </c>
      <c r="Q419" t="s">
        <v>186</v>
      </c>
    </row>
    <row r="420" spans="1:17" x14ac:dyDescent="0.3">
      <c r="A420" t="s">
        <v>223</v>
      </c>
      <c r="B420">
        <v>-35.558100000000003</v>
      </c>
      <c r="C420">
        <v>138.67920000000001</v>
      </c>
      <c r="D420" s="2">
        <v>46020</v>
      </c>
      <c r="J420">
        <v>0</v>
      </c>
      <c r="Q420" t="s">
        <v>186</v>
      </c>
    </row>
    <row r="421" spans="1:17" x14ac:dyDescent="0.3">
      <c r="A421" t="s">
        <v>197</v>
      </c>
      <c r="B421">
        <v>-35.793615000000003</v>
      </c>
      <c r="C421">
        <v>137.85449840000001</v>
      </c>
      <c r="D421" s="2">
        <v>46020</v>
      </c>
      <c r="F421">
        <v>0</v>
      </c>
      <c r="G421">
        <v>667</v>
      </c>
      <c r="H421">
        <v>0</v>
      </c>
      <c r="I421">
        <v>6000</v>
      </c>
      <c r="J421">
        <v>0</v>
      </c>
      <c r="K421">
        <v>0</v>
      </c>
      <c r="L421">
        <v>2667</v>
      </c>
      <c r="M421">
        <v>222</v>
      </c>
      <c r="N421">
        <v>2222</v>
      </c>
      <c r="O421">
        <v>0</v>
      </c>
      <c r="P421">
        <v>11778</v>
      </c>
      <c r="Q421" t="s">
        <v>151</v>
      </c>
    </row>
    <row r="422" spans="1:17" x14ac:dyDescent="0.3">
      <c r="A422" t="s">
        <v>235</v>
      </c>
      <c r="B422">
        <v>-34.824044999999998</v>
      </c>
      <c r="C422">
        <v>138.48377600000001</v>
      </c>
      <c r="D422" s="2">
        <v>46021</v>
      </c>
      <c r="E422" s="20">
        <v>0.5</v>
      </c>
      <c r="F422">
        <v>0</v>
      </c>
      <c r="G422">
        <v>0.5</v>
      </c>
      <c r="H422">
        <v>0</v>
      </c>
      <c r="I422">
        <v>5</v>
      </c>
      <c r="J422">
        <v>0</v>
      </c>
      <c r="K422">
        <v>0</v>
      </c>
      <c r="L422">
        <v>27.3</v>
      </c>
      <c r="M422">
        <v>1.9</v>
      </c>
      <c r="N422">
        <v>0.3</v>
      </c>
      <c r="O422">
        <v>0</v>
      </c>
      <c r="P422">
        <v>35</v>
      </c>
      <c r="Q422" t="s">
        <v>78</v>
      </c>
    </row>
    <row r="423" spans="1:17" x14ac:dyDescent="0.3">
      <c r="A423" t="s">
        <v>79</v>
      </c>
      <c r="B423">
        <v>-34.804662999999998</v>
      </c>
      <c r="C423">
        <v>138.540223</v>
      </c>
      <c r="D423" s="2">
        <v>46021</v>
      </c>
      <c r="E423" s="20">
        <v>0.47222222222222221</v>
      </c>
      <c r="F423">
        <v>0.45</v>
      </c>
      <c r="G423">
        <v>0.15</v>
      </c>
      <c r="H423">
        <v>0</v>
      </c>
      <c r="I423">
        <v>0.15</v>
      </c>
      <c r="J423">
        <v>0</v>
      </c>
      <c r="K423">
        <v>0</v>
      </c>
      <c r="L423">
        <v>8.3249999999999993</v>
      </c>
      <c r="M423">
        <v>0</v>
      </c>
      <c r="N423">
        <v>0.22500000000000001</v>
      </c>
      <c r="O423">
        <v>0.15</v>
      </c>
      <c r="P423" s="11">
        <v>9.4499999999999993</v>
      </c>
      <c r="Q423" t="s">
        <v>78</v>
      </c>
    </row>
    <row r="424" spans="1:17" x14ac:dyDescent="0.3">
      <c r="A424" t="s">
        <v>240</v>
      </c>
      <c r="B424">
        <v>-35.193919999999999</v>
      </c>
      <c r="C424">
        <v>138.469233</v>
      </c>
      <c r="D424" s="2">
        <v>46021</v>
      </c>
      <c r="E424" s="20">
        <v>0.55555555555555558</v>
      </c>
      <c r="F424">
        <v>0</v>
      </c>
      <c r="G424">
        <v>7.4999999999999997E-2</v>
      </c>
      <c r="H424">
        <v>0</v>
      </c>
      <c r="I424">
        <v>1.65</v>
      </c>
      <c r="J424">
        <v>0</v>
      </c>
      <c r="K424">
        <v>0</v>
      </c>
      <c r="L424">
        <v>2.3250000000000002</v>
      </c>
      <c r="M424">
        <v>0</v>
      </c>
      <c r="N424">
        <v>0.15</v>
      </c>
      <c r="O424">
        <v>0</v>
      </c>
      <c r="P424" s="11">
        <v>4.2</v>
      </c>
      <c r="Q424" t="s">
        <v>78</v>
      </c>
    </row>
    <row r="425" spans="1:17" x14ac:dyDescent="0.3">
      <c r="A425" t="s">
        <v>239</v>
      </c>
      <c r="B425">
        <v>-35.308790000000002</v>
      </c>
      <c r="C425">
        <v>138.44603499999999</v>
      </c>
      <c r="D425" s="2">
        <v>46023</v>
      </c>
      <c r="E425" s="20">
        <v>0.39583333333333331</v>
      </c>
      <c r="F425">
        <v>0</v>
      </c>
      <c r="G425">
        <v>3.5000000000000003E-2</v>
      </c>
      <c r="H425">
        <v>0</v>
      </c>
      <c r="I425">
        <v>2.415</v>
      </c>
      <c r="J425">
        <v>0</v>
      </c>
      <c r="K425">
        <v>0</v>
      </c>
      <c r="L425">
        <v>5.6349999999999998</v>
      </c>
      <c r="M425">
        <v>0</v>
      </c>
      <c r="N425">
        <v>0</v>
      </c>
      <c r="O425">
        <v>0.105</v>
      </c>
      <c r="P425">
        <v>8.1900000000000013</v>
      </c>
      <c r="Q425" t="s">
        <v>78</v>
      </c>
    </row>
    <row r="426" spans="1:17" x14ac:dyDescent="0.3">
      <c r="A426" s="10" t="s">
        <v>245</v>
      </c>
      <c r="B426" s="9">
        <v>-35.787201000000003</v>
      </c>
      <c r="C426" s="10">
        <v>137.77800909999999</v>
      </c>
      <c r="D426" s="2">
        <v>46023</v>
      </c>
      <c r="F426" s="10">
        <v>1111</v>
      </c>
      <c r="G426" s="10">
        <v>0</v>
      </c>
      <c r="H426" s="10">
        <v>0</v>
      </c>
      <c r="I426" s="10">
        <v>12778</v>
      </c>
      <c r="J426" s="10">
        <v>3</v>
      </c>
      <c r="K426" s="10">
        <v>8</v>
      </c>
      <c r="L426" s="10">
        <v>9444</v>
      </c>
      <c r="M426" s="10">
        <v>444</v>
      </c>
      <c r="N426" s="10">
        <v>9</v>
      </c>
      <c r="O426" s="10">
        <v>888</v>
      </c>
      <c r="P426" s="10">
        <v>24682</v>
      </c>
      <c r="Q426" s="10" t="s">
        <v>151</v>
      </c>
    </row>
    <row r="427" spans="1:17" x14ac:dyDescent="0.3">
      <c r="A427" s="10" t="s">
        <v>247</v>
      </c>
      <c r="B427" s="12">
        <v>-35.787233399999998</v>
      </c>
      <c r="C427" s="9">
        <v>137.777816</v>
      </c>
      <c r="D427" s="2">
        <v>46023</v>
      </c>
      <c r="F427" s="10">
        <v>0</v>
      </c>
      <c r="G427" s="10">
        <v>0</v>
      </c>
      <c r="H427" s="10">
        <v>667</v>
      </c>
      <c r="I427" s="10">
        <v>26667</v>
      </c>
      <c r="J427" s="10">
        <v>0</v>
      </c>
      <c r="K427" s="10">
        <v>0</v>
      </c>
      <c r="L427" s="10">
        <v>15333</v>
      </c>
      <c r="M427" s="10">
        <v>444</v>
      </c>
      <c r="N427" s="10">
        <v>0</v>
      </c>
      <c r="O427" s="10">
        <v>888</v>
      </c>
      <c r="P427" s="10">
        <v>43999</v>
      </c>
      <c r="Q427" s="10" t="s">
        <v>151</v>
      </c>
    </row>
    <row r="428" spans="1:17" x14ac:dyDescent="0.3">
      <c r="A428" t="s">
        <v>272</v>
      </c>
      <c r="B428">
        <v>-35.093021</v>
      </c>
      <c r="C428">
        <v>137.747083</v>
      </c>
      <c r="D428" s="2">
        <v>46023</v>
      </c>
      <c r="I428">
        <v>389</v>
      </c>
      <c r="J428">
        <v>0</v>
      </c>
      <c r="L428">
        <v>1111</v>
      </c>
      <c r="N428">
        <v>833</v>
      </c>
      <c r="O428">
        <v>556</v>
      </c>
      <c r="P428">
        <v>2889</v>
      </c>
      <c r="Q428" t="s">
        <v>218</v>
      </c>
    </row>
    <row r="429" spans="1:17" x14ac:dyDescent="0.3">
      <c r="A429" t="s">
        <v>276</v>
      </c>
      <c r="B429">
        <v>-35.115721999999998</v>
      </c>
      <c r="C429">
        <v>137.75626</v>
      </c>
      <c r="D429" s="2">
        <v>46023</v>
      </c>
      <c r="I429">
        <v>278</v>
      </c>
      <c r="J429">
        <v>0</v>
      </c>
      <c r="L429">
        <v>222</v>
      </c>
      <c r="N429">
        <v>3444</v>
      </c>
      <c r="O429">
        <v>778</v>
      </c>
      <c r="P429">
        <v>4722</v>
      </c>
      <c r="Q429" t="s">
        <v>218</v>
      </c>
    </row>
    <row r="430" spans="1:17" x14ac:dyDescent="0.3">
      <c r="A430" t="s">
        <v>241</v>
      </c>
      <c r="B430">
        <v>-35.427987000000002</v>
      </c>
      <c r="C430">
        <v>138.31909899999999</v>
      </c>
      <c r="D430" s="2">
        <v>46025</v>
      </c>
      <c r="E430" s="20">
        <v>0.45833333333333331</v>
      </c>
      <c r="F430">
        <v>0</v>
      </c>
      <c r="G430">
        <v>6.7000000000000004E-2</v>
      </c>
      <c r="H430">
        <v>0</v>
      </c>
      <c r="I430">
        <v>3</v>
      </c>
      <c r="J430">
        <v>0</v>
      </c>
      <c r="K430">
        <v>3.0000000000000001E-3</v>
      </c>
      <c r="L430">
        <v>3.3</v>
      </c>
      <c r="M430">
        <v>0</v>
      </c>
      <c r="N430">
        <v>3.3000000000000002E-2</v>
      </c>
      <c r="O430">
        <v>3.3</v>
      </c>
      <c r="P430" s="11">
        <v>9.7029999999999994</v>
      </c>
      <c r="Q430" t="s">
        <v>78</v>
      </c>
    </row>
    <row r="431" spans="1:17" x14ac:dyDescent="0.3">
      <c r="A431" t="s">
        <v>92</v>
      </c>
      <c r="B431">
        <v>-35.632150000000003</v>
      </c>
      <c r="C431">
        <v>138.48335599999999</v>
      </c>
      <c r="D431" s="2">
        <v>46025</v>
      </c>
      <c r="E431" s="20">
        <v>0.42708333333333331</v>
      </c>
      <c r="F431">
        <v>0</v>
      </c>
      <c r="G431">
        <v>0.05</v>
      </c>
      <c r="H431">
        <v>0</v>
      </c>
      <c r="I431">
        <v>1.75</v>
      </c>
      <c r="J431">
        <v>0.05</v>
      </c>
      <c r="K431">
        <v>0</v>
      </c>
      <c r="L431">
        <v>3.4</v>
      </c>
      <c r="M431">
        <v>0</v>
      </c>
      <c r="N431">
        <v>0</v>
      </c>
      <c r="O431">
        <v>0.45</v>
      </c>
      <c r="P431" s="11">
        <v>5.65</v>
      </c>
      <c r="Q431" t="s">
        <v>78</v>
      </c>
    </row>
    <row r="432" spans="1:17" x14ac:dyDescent="0.3">
      <c r="A432" t="s">
        <v>242</v>
      </c>
      <c r="B432">
        <v>-34.860666999999999</v>
      </c>
      <c r="C432">
        <v>138.490938</v>
      </c>
      <c r="D432" s="2">
        <v>46025</v>
      </c>
      <c r="E432" s="20">
        <v>0.54861111111111116</v>
      </c>
      <c r="F432">
        <v>0</v>
      </c>
      <c r="G432">
        <v>0.15</v>
      </c>
      <c r="H432">
        <v>0</v>
      </c>
      <c r="I432">
        <v>5.25</v>
      </c>
      <c r="J432">
        <v>1.05</v>
      </c>
      <c r="K432">
        <v>0</v>
      </c>
      <c r="L432">
        <v>72.900000000000006</v>
      </c>
      <c r="M432">
        <v>0</v>
      </c>
      <c r="N432">
        <v>0.75</v>
      </c>
      <c r="O432">
        <v>1.2</v>
      </c>
      <c r="P432" s="11">
        <v>80.250000000000014</v>
      </c>
      <c r="Q432" t="s">
        <v>78</v>
      </c>
    </row>
    <row r="433" spans="1:17" x14ac:dyDescent="0.3">
      <c r="A433" t="s">
        <v>85</v>
      </c>
      <c r="B433">
        <v>-34.873964000000001</v>
      </c>
      <c r="C433">
        <v>138.488134</v>
      </c>
      <c r="D433" s="2">
        <v>46025</v>
      </c>
      <c r="E433" s="20">
        <v>0.55208333333333337</v>
      </c>
      <c r="F433">
        <v>0</v>
      </c>
      <c r="G433">
        <v>0</v>
      </c>
      <c r="H433">
        <v>0</v>
      </c>
      <c r="I433">
        <v>80</v>
      </c>
      <c r="J433">
        <v>46.5</v>
      </c>
      <c r="K433">
        <v>0</v>
      </c>
      <c r="L433">
        <v>32</v>
      </c>
      <c r="M433">
        <v>0</v>
      </c>
      <c r="N433">
        <v>2</v>
      </c>
      <c r="O433">
        <v>0</v>
      </c>
      <c r="P433" s="11">
        <v>114</v>
      </c>
      <c r="Q433" t="s">
        <v>78</v>
      </c>
    </row>
    <row r="434" spans="1:17" x14ac:dyDescent="0.3">
      <c r="A434" s="10" t="s">
        <v>248</v>
      </c>
      <c r="B434" s="10">
        <v>-35.622483199999998</v>
      </c>
      <c r="C434" s="10">
        <v>137.20668860000001</v>
      </c>
      <c r="D434" s="2">
        <v>46026</v>
      </c>
      <c r="F434" s="10">
        <v>0</v>
      </c>
      <c r="G434" s="10">
        <v>111</v>
      </c>
      <c r="H434" s="10">
        <v>0</v>
      </c>
      <c r="I434" s="10">
        <v>7000</v>
      </c>
      <c r="J434" s="10">
        <v>5990</v>
      </c>
      <c r="K434" s="10">
        <v>1110</v>
      </c>
      <c r="L434" s="10">
        <v>111</v>
      </c>
      <c r="M434" s="10">
        <v>0</v>
      </c>
      <c r="N434" s="10">
        <v>999</v>
      </c>
      <c r="O434" s="10">
        <v>0</v>
      </c>
      <c r="P434" s="10">
        <v>9331</v>
      </c>
      <c r="Q434" s="10" t="s">
        <v>151</v>
      </c>
    </row>
    <row r="435" spans="1:17" x14ac:dyDescent="0.3">
      <c r="A435" t="s">
        <v>273</v>
      </c>
      <c r="B435">
        <v>-35.081834999999998</v>
      </c>
      <c r="C435">
        <v>137.74801600000001</v>
      </c>
      <c r="D435" s="2">
        <v>46026</v>
      </c>
      <c r="I435">
        <v>444</v>
      </c>
      <c r="J435">
        <v>0</v>
      </c>
      <c r="L435">
        <v>333</v>
      </c>
      <c r="N435">
        <v>1389</v>
      </c>
      <c r="O435">
        <v>222</v>
      </c>
      <c r="P435">
        <v>2389</v>
      </c>
      <c r="Q435" t="s">
        <v>218</v>
      </c>
    </row>
    <row r="436" spans="1:17" x14ac:dyDescent="0.3">
      <c r="A436" t="s">
        <v>230</v>
      </c>
      <c r="B436">
        <v>-35.054707999999998</v>
      </c>
      <c r="C436">
        <v>137.725145</v>
      </c>
      <c r="D436" s="2">
        <v>46026</v>
      </c>
      <c r="I436">
        <v>107000</v>
      </c>
      <c r="J436">
        <v>0</v>
      </c>
      <c r="L436">
        <v>2667</v>
      </c>
      <c r="O436">
        <v>333</v>
      </c>
      <c r="P436">
        <v>110000</v>
      </c>
      <c r="Q436" t="s">
        <v>218</v>
      </c>
    </row>
    <row r="437" spans="1:17" x14ac:dyDescent="0.3">
      <c r="A437" t="s">
        <v>94</v>
      </c>
      <c r="B437">
        <v>-35.58858</v>
      </c>
      <c r="C437">
        <v>138.60474600000001</v>
      </c>
      <c r="D437" s="2">
        <v>46026</v>
      </c>
      <c r="H437">
        <v>56</v>
      </c>
      <c r="J437">
        <v>0</v>
      </c>
      <c r="N437">
        <v>111</v>
      </c>
      <c r="O437">
        <v>333</v>
      </c>
      <c r="P437">
        <v>500</v>
      </c>
      <c r="Q437" t="s">
        <v>129</v>
      </c>
    </row>
    <row r="438" spans="1:17" x14ac:dyDescent="0.3">
      <c r="A438" t="s">
        <v>89</v>
      </c>
      <c r="B438">
        <v>-35.6048446</v>
      </c>
      <c r="C438">
        <v>138.59278499999999</v>
      </c>
      <c r="D438" s="2">
        <v>46026</v>
      </c>
      <c r="G438">
        <v>278</v>
      </c>
      <c r="H438">
        <v>111</v>
      </c>
      <c r="I438">
        <v>278</v>
      </c>
      <c r="J438">
        <v>0</v>
      </c>
      <c r="K438">
        <v>56</v>
      </c>
      <c r="L438">
        <v>389</v>
      </c>
      <c r="N438">
        <v>111</v>
      </c>
      <c r="O438">
        <v>444</v>
      </c>
      <c r="P438">
        <v>1667</v>
      </c>
      <c r="Q438" t="s">
        <v>129</v>
      </c>
    </row>
    <row r="439" spans="1:17" x14ac:dyDescent="0.3">
      <c r="A439" t="s">
        <v>246</v>
      </c>
      <c r="B439">
        <v>-35.269129</v>
      </c>
      <c r="C439">
        <v>136.844258</v>
      </c>
      <c r="D439" s="2">
        <v>46027</v>
      </c>
      <c r="I439">
        <v>5389</v>
      </c>
      <c r="J439">
        <v>3556</v>
      </c>
      <c r="L439">
        <v>1333</v>
      </c>
      <c r="N439">
        <v>278</v>
      </c>
      <c r="O439">
        <v>778</v>
      </c>
      <c r="P439">
        <v>7778</v>
      </c>
      <c r="Q439" t="s">
        <v>218</v>
      </c>
    </row>
    <row r="440" spans="1:17" x14ac:dyDescent="0.3">
      <c r="A440" t="s">
        <v>79</v>
      </c>
      <c r="B440">
        <v>-34.804662999999998</v>
      </c>
      <c r="C440">
        <v>138.540223</v>
      </c>
      <c r="D440" s="2">
        <v>46028</v>
      </c>
      <c r="E440" s="20">
        <v>0.43055555555555558</v>
      </c>
      <c r="F440">
        <v>0</v>
      </c>
      <c r="G440">
        <v>0</v>
      </c>
      <c r="H440">
        <v>0</v>
      </c>
      <c r="I440">
        <v>0.3</v>
      </c>
      <c r="J440">
        <v>0</v>
      </c>
      <c r="K440">
        <v>0</v>
      </c>
      <c r="L440">
        <v>6.6</v>
      </c>
      <c r="M440">
        <v>0</v>
      </c>
      <c r="N440">
        <v>0.05</v>
      </c>
      <c r="O440">
        <v>2.95</v>
      </c>
      <c r="P440" s="11">
        <v>9.8999999999999986</v>
      </c>
      <c r="Q440" t="s">
        <v>78</v>
      </c>
    </row>
    <row r="441" spans="1:17" x14ac:dyDescent="0.3">
      <c r="A441" t="s">
        <v>243</v>
      </c>
      <c r="B441">
        <v>-34.838619999999999</v>
      </c>
      <c r="C441">
        <v>138.50473</v>
      </c>
      <c r="D441" s="2">
        <v>46028</v>
      </c>
      <c r="E441" s="20">
        <v>0.4236111111111111</v>
      </c>
      <c r="F441">
        <v>0</v>
      </c>
      <c r="G441">
        <v>0</v>
      </c>
      <c r="H441">
        <v>0</v>
      </c>
      <c r="I441">
        <v>0.40500000000000003</v>
      </c>
      <c r="J441">
        <v>0</v>
      </c>
      <c r="K441">
        <v>0</v>
      </c>
      <c r="L441">
        <v>6.165</v>
      </c>
      <c r="M441">
        <v>0</v>
      </c>
      <c r="N441">
        <v>4.4999999999999998E-2</v>
      </c>
      <c r="O441">
        <v>0.40500000000000003</v>
      </c>
      <c r="P441" s="11">
        <v>7.0200000000000005</v>
      </c>
      <c r="Q441" t="s">
        <v>78</v>
      </c>
    </row>
    <row r="442" spans="1:17" x14ac:dyDescent="0.3">
      <c r="A442" t="s">
        <v>235</v>
      </c>
      <c r="B442">
        <v>-34.824044999999998</v>
      </c>
      <c r="C442">
        <v>138.48377600000001</v>
      </c>
      <c r="D442" s="2">
        <v>46028</v>
      </c>
      <c r="E442" s="20">
        <v>0.41666666666666669</v>
      </c>
      <c r="F442">
        <v>0</v>
      </c>
      <c r="G442">
        <v>0.05</v>
      </c>
      <c r="H442">
        <v>0</v>
      </c>
      <c r="I442">
        <v>0.8</v>
      </c>
      <c r="J442">
        <v>0</v>
      </c>
      <c r="K442">
        <v>0</v>
      </c>
      <c r="L442">
        <v>5.4</v>
      </c>
      <c r="M442" t="s">
        <v>244</v>
      </c>
      <c r="N442">
        <v>0.1</v>
      </c>
      <c r="O442">
        <v>1.35</v>
      </c>
      <c r="P442" s="11">
        <v>7.6999999999999993</v>
      </c>
      <c r="Q442" t="s">
        <v>78</v>
      </c>
    </row>
    <row r="443" spans="1:17" x14ac:dyDescent="0.3">
      <c r="A443" t="s">
        <v>85</v>
      </c>
      <c r="B443">
        <v>-34.873964000000001</v>
      </c>
      <c r="C443">
        <v>138.488134</v>
      </c>
      <c r="D443" s="2">
        <v>46028</v>
      </c>
      <c r="E443" s="20">
        <v>0.36458333333333331</v>
      </c>
      <c r="F443">
        <v>0.16700000000000001</v>
      </c>
      <c r="G443">
        <v>0</v>
      </c>
      <c r="H443">
        <v>0</v>
      </c>
      <c r="I443">
        <v>42.167000000000002</v>
      </c>
      <c r="J443">
        <v>17.167000000000002</v>
      </c>
      <c r="K443">
        <v>0</v>
      </c>
      <c r="L443">
        <v>5.1669999999999998</v>
      </c>
      <c r="M443">
        <v>1.667</v>
      </c>
      <c r="N443">
        <v>0</v>
      </c>
      <c r="O443">
        <v>0.66700000000000004</v>
      </c>
      <c r="P443" s="11">
        <v>49.835000000000008</v>
      </c>
      <c r="Q443" t="s">
        <v>78</v>
      </c>
    </row>
    <row r="444" spans="1:17" x14ac:dyDescent="0.3">
      <c r="A444" t="s">
        <v>242</v>
      </c>
      <c r="B444">
        <v>-34.860666999999999</v>
      </c>
      <c r="C444">
        <v>138.490938</v>
      </c>
      <c r="D444" s="2">
        <v>46028</v>
      </c>
      <c r="E444" s="20">
        <v>0.3611111111111111</v>
      </c>
      <c r="F444">
        <v>0</v>
      </c>
      <c r="G444">
        <v>0</v>
      </c>
      <c r="H444">
        <v>0</v>
      </c>
      <c r="I444">
        <v>45.674999999999997</v>
      </c>
      <c r="J444">
        <v>39.450000000000003</v>
      </c>
      <c r="K444">
        <v>0</v>
      </c>
      <c r="L444">
        <v>1.8</v>
      </c>
      <c r="M444">
        <v>0</v>
      </c>
      <c r="N444">
        <v>0</v>
      </c>
      <c r="O444">
        <v>0.52500000000000002</v>
      </c>
      <c r="P444" s="11">
        <v>47.999999999999993</v>
      </c>
      <c r="Q444" t="s">
        <v>78</v>
      </c>
    </row>
    <row r="445" spans="1:17" x14ac:dyDescent="0.3">
      <c r="A445" s="10" t="s">
        <v>245</v>
      </c>
      <c r="B445" s="9">
        <v>-35.787201000000003</v>
      </c>
      <c r="C445" s="10">
        <v>137.77800909999999</v>
      </c>
      <c r="D445" s="2">
        <v>46028</v>
      </c>
      <c r="F445" s="10">
        <v>1111</v>
      </c>
      <c r="G445" s="10">
        <v>13333</v>
      </c>
      <c r="H445" s="10">
        <v>0</v>
      </c>
      <c r="I445" s="10">
        <v>16111</v>
      </c>
      <c r="J445" s="10">
        <v>333</v>
      </c>
      <c r="K445" s="10">
        <v>0</v>
      </c>
      <c r="L445" s="10">
        <v>13889</v>
      </c>
      <c r="M445" s="10">
        <v>333</v>
      </c>
      <c r="N445" s="10">
        <v>1444</v>
      </c>
      <c r="O445" s="10">
        <v>0</v>
      </c>
      <c r="P445" s="10">
        <v>46221</v>
      </c>
      <c r="Q445" s="10" t="s">
        <v>151</v>
      </c>
    </row>
    <row r="446" spans="1:17" x14ac:dyDescent="0.3">
      <c r="A446" t="s">
        <v>249</v>
      </c>
      <c r="B446">
        <v>-33.926485999999997</v>
      </c>
      <c r="C446">
        <v>137.61819499999999</v>
      </c>
      <c r="D446" s="2">
        <v>46031</v>
      </c>
      <c r="G446">
        <v>222</v>
      </c>
      <c r="H446">
        <v>500</v>
      </c>
      <c r="I446">
        <v>1722</v>
      </c>
      <c r="J446">
        <v>56</v>
      </c>
      <c r="K446">
        <v>833</v>
      </c>
      <c r="L446">
        <v>333</v>
      </c>
      <c r="N446">
        <v>3444</v>
      </c>
      <c r="P446">
        <v>7056</v>
      </c>
      <c r="Q446" s="10" t="s">
        <v>76</v>
      </c>
    </row>
    <row r="447" spans="1:17" x14ac:dyDescent="0.3">
      <c r="A447" t="s">
        <v>37</v>
      </c>
      <c r="B447">
        <v>-34.289369999999998</v>
      </c>
      <c r="C447">
        <v>138.01242999999999</v>
      </c>
      <c r="D447" s="2">
        <v>46031</v>
      </c>
      <c r="G447">
        <v>56</v>
      </c>
      <c r="I447">
        <v>278</v>
      </c>
      <c r="J447">
        <v>0</v>
      </c>
      <c r="L447">
        <v>333</v>
      </c>
      <c r="N447">
        <v>56</v>
      </c>
      <c r="O447">
        <v>56</v>
      </c>
      <c r="P447">
        <v>778</v>
      </c>
      <c r="Q447" s="10" t="s">
        <v>76</v>
      </c>
    </row>
    <row r="448" spans="1:17" x14ac:dyDescent="0.3">
      <c r="A448" t="s">
        <v>220</v>
      </c>
      <c r="B448">
        <v>-35.738910099999998</v>
      </c>
      <c r="C448">
        <v>137.68358799999999</v>
      </c>
      <c r="D448" s="2">
        <v>46032</v>
      </c>
      <c r="F448">
        <v>0</v>
      </c>
      <c r="G448">
        <v>0</v>
      </c>
      <c r="H448">
        <v>0</v>
      </c>
      <c r="I448">
        <v>111</v>
      </c>
      <c r="J448">
        <v>0</v>
      </c>
      <c r="K448">
        <v>0</v>
      </c>
      <c r="L448">
        <v>444</v>
      </c>
      <c r="M448">
        <v>0</v>
      </c>
      <c r="N448">
        <v>0</v>
      </c>
      <c r="O448">
        <v>0</v>
      </c>
      <c r="P448">
        <v>555</v>
      </c>
      <c r="Q448" t="s">
        <v>151</v>
      </c>
    </row>
    <row r="449" spans="1:17" x14ac:dyDescent="0.3">
      <c r="A449" t="s">
        <v>240</v>
      </c>
      <c r="B449">
        <v>-35.193919999999999</v>
      </c>
      <c r="C449">
        <v>138.469233</v>
      </c>
      <c r="D449" s="2">
        <v>46032</v>
      </c>
      <c r="E449" s="20">
        <v>0.40833333333333333</v>
      </c>
      <c r="F449">
        <v>0.15</v>
      </c>
      <c r="G449">
        <v>0.05</v>
      </c>
      <c r="I449">
        <v>3.15</v>
      </c>
      <c r="J449">
        <v>0</v>
      </c>
      <c r="L449">
        <v>2.4</v>
      </c>
      <c r="O449">
        <v>0.4</v>
      </c>
      <c r="P449">
        <v>6.15</v>
      </c>
      <c r="Q449" t="s">
        <v>78</v>
      </c>
    </row>
    <row r="450" spans="1:17" x14ac:dyDescent="0.3">
      <c r="A450" t="s">
        <v>230</v>
      </c>
      <c r="B450">
        <v>-35.054707999999998</v>
      </c>
      <c r="C450">
        <v>137.725145</v>
      </c>
      <c r="D450" s="2">
        <v>46032</v>
      </c>
      <c r="I450">
        <v>111000</v>
      </c>
      <c r="J450">
        <v>0</v>
      </c>
      <c r="L450">
        <v>4667</v>
      </c>
      <c r="O450">
        <v>1000</v>
      </c>
      <c r="P450">
        <v>122667</v>
      </c>
      <c r="Q450" t="s">
        <v>218</v>
      </c>
    </row>
    <row r="451" spans="1:17" x14ac:dyDescent="0.3">
      <c r="A451" t="s">
        <v>250</v>
      </c>
      <c r="B451">
        <v>-35.523274000000001</v>
      </c>
      <c r="C451">
        <v>138.19270700000001</v>
      </c>
      <c r="D451" s="2">
        <v>46033</v>
      </c>
      <c r="I451">
        <v>333</v>
      </c>
      <c r="J451">
        <v>0</v>
      </c>
      <c r="L451">
        <v>278</v>
      </c>
      <c r="N451">
        <v>18889</v>
      </c>
      <c r="P451">
        <v>19500</v>
      </c>
      <c r="Q451" s="10" t="s">
        <v>251</v>
      </c>
    </row>
    <row r="452" spans="1:17" x14ac:dyDescent="0.3">
      <c r="A452" t="s">
        <v>197</v>
      </c>
      <c r="B452">
        <v>-35.793615000000003</v>
      </c>
      <c r="C452">
        <v>137.85449840000001</v>
      </c>
      <c r="D452" s="2">
        <v>46033</v>
      </c>
      <c r="F452">
        <v>0</v>
      </c>
      <c r="G452">
        <v>0</v>
      </c>
      <c r="H452">
        <v>2000</v>
      </c>
      <c r="I452">
        <v>11000</v>
      </c>
      <c r="J452">
        <v>9889</v>
      </c>
      <c r="K452">
        <v>0</v>
      </c>
      <c r="L452">
        <v>5444</v>
      </c>
      <c r="M452">
        <v>333</v>
      </c>
      <c r="N452">
        <v>3444</v>
      </c>
      <c r="O452">
        <v>111</v>
      </c>
      <c r="P452">
        <v>22332</v>
      </c>
      <c r="Q452" t="s">
        <v>151</v>
      </c>
    </row>
    <row r="453" spans="1:17" x14ac:dyDescent="0.3">
      <c r="A453" t="s">
        <v>85</v>
      </c>
      <c r="B453">
        <v>-34.873964000000001</v>
      </c>
      <c r="C453">
        <v>138.488134</v>
      </c>
      <c r="D453" s="2">
        <v>46033</v>
      </c>
      <c r="E453" s="20">
        <v>0.50694444444444442</v>
      </c>
      <c r="I453">
        <v>60.75</v>
      </c>
      <c r="J453">
        <v>49.274999999999999</v>
      </c>
      <c r="L453">
        <v>0.67500000000000004</v>
      </c>
      <c r="M453">
        <v>7.4999999999999997E-2</v>
      </c>
      <c r="O453">
        <v>0.3</v>
      </c>
      <c r="P453">
        <v>61.8</v>
      </c>
      <c r="Q453" t="s">
        <v>78</v>
      </c>
    </row>
    <row r="454" spans="1:17" x14ac:dyDescent="0.3">
      <c r="A454" t="s">
        <v>242</v>
      </c>
      <c r="B454">
        <v>-34.860666999999999</v>
      </c>
      <c r="C454">
        <v>138.490938</v>
      </c>
      <c r="D454" s="2">
        <v>46033</v>
      </c>
      <c r="E454" s="20">
        <v>0.5</v>
      </c>
      <c r="I454">
        <v>16.725000000000001</v>
      </c>
      <c r="J454">
        <v>8.0250000000000004</v>
      </c>
      <c r="L454">
        <v>0.375</v>
      </c>
      <c r="O454">
        <v>0.82499999999999996</v>
      </c>
      <c r="P454">
        <v>17.93</v>
      </c>
      <c r="Q454" t="s">
        <v>78</v>
      </c>
    </row>
    <row r="455" spans="1:17" x14ac:dyDescent="0.3">
      <c r="A455" t="s">
        <v>255</v>
      </c>
      <c r="B455">
        <v>-34.908026999999997</v>
      </c>
      <c r="C455">
        <v>138.48942299999999</v>
      </c>
      <c r="D455" s="2">
        <v>46033</v>
      </c>
      <c r="E455" s="20">
        <v>0.51597222222222228</v>
      </c>
      <c r="F455">
        <v>0.2</v>
      </c>
      <c r="G455">
        <v>0.1</v>
      </c>
      <c r="I455">
        <v>0.7</v>
      </c>
      <c r="J455">
        <v>0</v>
      </c>
      <c r="K455">
        <v>0.35</v>
      </c>
      <c r="L455">
        <v>15.95</v>
      </c>
      <c r="O455">
        <v>0.3</v>
      </c>
      <c r="P455">
        <v>17.600000000000001</v>
      </c>
      <c r="Q455" t="s">
        <v>78</v>
      </c>
    </row>
    <row r="456" spans="1:17" x14ac:dyDescent="0.3">
      <c r="A456" t="s">
        <v>342</v>
      </c>
      <c r="B456">
        <v>-35.242910000000002</v>
      </c>
      <c r="C456">
        <v>136.97980000000001</v>
      </c>
      <c r="D456" s="2">
        <v>46033</v>
      </c>
      <c r="G456">
        <v>56</v>
      </c>
      <c r="I456">
        <v>1223</v>
      </c>
      <c r="J456">
        <v>556</v>
      </c>
      <c r="L456">
        <v>333</v>
      </c>
      <c r="N456">
        <v>167</v>
      </c>
      <c r="O456">
        <v>556</v>
      </c>
      <c r="P456">
        <v>2335</v>
      </c>
      <c r="Q456" t="s">
        <v>129</v>
      </c>
    </row>
    <row r="457" spans="1:17" x14ac:dyDescent="0.3">
      <c r="A457" t="s">
        <v>253</v>
      </c>
      <c r="B457">
        <v>-35.668842900000001</v>
      </c>
      <c r="C457">
        <v>137.0694771</v>
      </c>
      <c r="D457" s="2">
        <v>46034</v>
      </c>
      <c r="F457">
        <v>0</v>
      </c>
      <c r="G457">
        <v>0</v>
      </c>
      <c r="H457">
        <v>0</v>
      </c>
      <c r="I457">
        <v>222</v>
      </c>
      <c r="J457">
        <v>111</v>
      </c>
      <c r="K457">
        <v>0</v>
      </c>
      <c r="L457">
        <v>1667</v>
      </c>
      <c r="M457">
        <v>0</v>
      </c>
      <c r="N457">
        <v>0</v>
      </c>
      <c r="O457">
        <v>111</v>
      </c>
      <c r="P457">
        <v>2000</v>
      </c>
      <c r="Q457" t="s">
        <v>151</v>
      </c>
    </row>
    <row r="458" spans="1:17" x14ac:dyDescent="0.3">
      <c r="A458" t="s">
        <v>256</v>
      </c>
      <c r="B458">
        <v>-35.789543199999997</v>
      </c>
      <c r="C458">
        <v>137.7884124</v>
      </c>
      <c r="D458" s="2">
        <v>46035</v>
      </c>
      <c r="F458">
        <v>0</v>
      </c>
      <c r="G458">
        <v>0</v>
      </c>
      <c r="H458">
        <v>1778</v>
      </c>
      <c r="I458">
        <v>9111</v>
      </c>
      <c r="J458">
        <v>4000</v>
      </c>
      <c r="K458">
        <v>1111</v>
      </c>
      <c r="L458">
        <v>1667</v>
      </c>
      <c r="M458">
        <v>333</v>
      </c>
      <c r="N458">
        <v>1778</v>
      </c>
      <c r="O458">
        <v>333</v>
      </c>
      <c r="P458">
        <v>16111</v>
      </c>
      <c r="Q458" t="s">
        <v>151</v>
      </c>
    </row>
    <row r="459" spans="1:17" x14ac:dyDescent="0.3">
      <c r="A459" t="s">
        <v>59</v>
      </c>
      <c r="B459">
        <v>-35.084850000000003</v>
      </c>
      <c r="C459">
        <v>137.74889999999999</v>
      </c>
      <c r="D459" s="2">
        <v>46035</v>
      </c>
      <c r="F459">
        <v>166</v>
      </c>
      <c r="G459">
        <v>0</v>
      </c>
      <c r="H459">
        <v>0</v>
      </c>
      <c r="I459">
        <v>222</v>
      </c>
      <c r="J459">
        <v>0</v>
      </c>
      <c r="K459">
        <v>0</v>
      </c>
      <c r="L459">
        <v>111</v>
      </c>
      <c r="N459">
        <v>1500</v>
      </c>
      <c r="P459">
        <v>1999</v>
      </c>
      <c r="Q459" t="s">
        <v>149</v>
      </c>
    </row>
    <row r="460" spans="1:17" x14ac:dyDescent="0.3">
      <c r="A460" t="s">
        <v>323</v>
      </c>
      <c r="B460">
        <v>-35.085709299999998</v>
      </c>
      <c r="C460">
        <v>136.96101970000001</v>
      </c>
      <c r="D460" s="2">
        <v>46035</v>
      </c>
      <c r="F460">
        <v>0</v>
      </c>
      <c r="G460">
        <v>0</v>
      </c>
      <c r="H460">
        <v>0</v>
      </c>
      <c r="I460">
        <v>6111</v>
      </c>
      <c r="J460">
        <v>4778</v>
      </c>
      <c r="K460">
        <v>0</v>
      </c>
      <c r="L460">
        <v>111</v>
      </c>
      <c r="M460">
        <v>0</v>
      </c>
      <c r="N460">
        <v>0</v>
      </c>
      <c r="O460">
        <v>111</v>
      </c>
      <c r="P460">
        <v>6333</v>
      </c>
      <c r="Q460" t="s">
        <v>254</v>
      </c>
    </row>
    <row r="461" spans="1:17" x14ac:dyDescent="0.3">
      <c r="A461" t="s">
        <v>252</v>
      </c>
      <c r="B461">
        <v>-35.521411999999998</v>
      </c>
      <c r="C461">
        <v>138.185383</v>
      </c>
      <c r="D461" s="2">
        <v>46036</v>
      </c>
      <c r="I461">
        <v>1000</v>
      </c>
      <c r="J461">
        <v>0</v>
      </c>
      <c r="L461">
        <v>167</v>
      </c>
      <c r="N461">
        <v>0</v>
      </c>
      <c r="P461">
        <v>1167</v>
      </c>
      <c r="Q461" t="s">
        <v>251</v>
      </c>
    </row>
    <row r="462" spans="1:17" x14ac:dyDescent="0.3">
      <c r="A462" t="s">
        <v>284</v>
      </c>
      <c r="B462">
        <v>-32.486960000000003</v>
      </c>
      <c r="C462">
        <v>137.76087000000001</v>
      </c>
      <c r="D462" s="2">
        <v>46036</v>
      </c>
      <c r="J462">
        <v>0</v>
      </c>
      <c r="L462">
        <v>1512</v>
      </c>
      <c r="O462">
        <v>154</v>
      </c>
      <c r="P462">
        <v>1666</v>
      </c>
      <c r="Q462" t="s">
        <v>283</v>
      </c>
    </row>
    <row r="463" spans="1:17" x14ac:dyDescent="0.3">
      <c r="A463" t="s">
        <v>285</v>
      </c>
      <c r="B463">
        <v>-32.48724</v>
      </c>
      <c r="C463">
        <v>137.76333</v>
      </c>
      <c r="D463" s="2">
        <v>46036</v>
      </c>
      <c r="J463">
        <v>0</v>
      </c>
      <c r="L463">
        <v>864</v>
      </c>
      <c r="O463">
        <v>185</v>
      </c>
      <c r="P463">
        <v>1049</v>
      </c>
      <c r="Q463" t="s">
        <v>283</v>
      </c>
    </row>
    <row r="464" spans="1:17" x14ac:dyDescent="0.3">
      <c r="A464" t="s">
        <v>286</v>
      </c>
      <c r="B464">
        <v>-32.490589999999997</v>
      </c>
      <c r="C464">
        <v>137.75889000000001</v>
      </c>
      <c r="D464" s="2">
        <v>46036</v>
      </c>
      <c r="J464">
        <v>0</v>
      </c>
      <c r="L464">
        <v>1173</v>
      </c>
      <c r="O464">
        <v>185</v>
      </c>
      <c r="P464">
        <v>1358</v>
      </c>
      <c r="Q464" t="s">
        <v>283</v>
      </c>
    </row>
    <row r="465" spans="1:20" x14ac:dyDescent="0.3">
      <c r="A465" t="s">
        <v>343</v>
      </c>
      <c r="B465">
        <v>-35.579300000000003</v>
      </c>
      <c r="C465">
        <v>138.59822800000001</v>
      </c>
      <c r="D465" s="2">
        <v>46038</v>
      </c>
      <c r="H465">
        <v>56</v>
      </c>
      <c r="I465">
        <v>56</v>
      </c>
      <c r="J465">
        <v>0</v>
      </c>
      <c r="L465">
        <v>111</v>
      </c>
      <c r="N465">
        <v>444</v>
      </c>
      <c r="O465">
        <v>278</v>
      </c>
      <c r="P465">
        <v>945</v>
      </c>
      <c r="Q465" t="s">
        <v>129</v>
      </c>
    </row>
    <row r="466" spans="1:20" x14ac:dyDescent="0.3">
      <c r="A466" t="s">
        <v>344</v>
      </c>
      <c r="B466">
        <v>-35.585419999999999</v>
      </c>
      <c r="C466">
        <v>138.597734</v>
      </c>
      <c r="D466" s="2">
        <v>46038</v>
      </c>
      <c r="H466">
        <v>56</v>
      </c>
      <c r="I466">
        <v>111</v>
      </c>
      <c r="J466">
        <v>0</v>
      </c>
      <c r="L466">
        <v>889</v>
      </c>
      <c r="O466">
        <v>611</v>
      </c>
      <c r="P466">
        <v>1667</v>
      </c>
      <c r="Q466" t="s">
        <v>129</v>
      </c>
    </row>
    <row r="467" spans="1:20" x14ac:dyDescent="0.3">
      <c r="A467" t="s">
        <v>345</v>
      </c>
      <c r="B467">
        <v>-35.570399999999999</v>
      </c>
      <c r="C467">
        <v>138.60683</v>
      </c>
      <c r="D467" s="2">
        <v>46038</v>
      </c>
      <c r="I467">
        <v>111</v>
      </c>
      <c r="J467">
        <v>0</v>
      </c>
      <c r="L467">
        <v>444</v>
      </c>
      <c r="N467">
        <v>111</v>
      </c>
      <c r="O467">
        <v>167</v>
      </c>
      <c r="P467">
        <v>833</v>
      </c>
      <c r="Q467" t="s">
        <v>129</v>
      </c>
    </row>
    <row r="468" spans="1:20" x14ac:dyDescent="0.3">
      <c r="A468" t="s">
        <v>245</v>
      </c>
      <c r="B468">
        <v>-35.787201000000003</v>
      </c>
      <c r="C468">
        <v>137.778009</v>
      </c>
      <c r="D468" s="2">
        <v>46039</v>
      </c>
      <c r="F468">
        <v>222</v>
      </c>
      <c r="G468">
        <v>0</v>
      </c>
      <c r="H468">
        <v>444</v>
      </c>
      <c r="I468">
        <v>2778</v>
      </c>
      <c r="J468">
        <v>0</v>
      </c>
      <c r="K468">
        <v>0</v>
      </c>
      <c r="L468">
        <v>1111</v>
      </c>
      <c r="M468">
        <v>444</v>
      </c>
      <c r="N468">
        <v>333</v>
      </c>
      <c r="O468">
        <v>444</v>
      </c>
      <c r="P468">
        <v>5776</v>
      </c>
      <c r="Q468" t="s">
        <v>151</v>
      </c>
    </row>
    <row r="469" spans="1:20" x14ac:dyDescent="0.3">
      <c r="A469" t="s">
        <v>264</v>
      </c>
      <c r="B469">
        <v>-35.787233000000001</v>
      </c>
      <c r="C469">
        <v>137.777816</v>
      </c>
      <c r="D469" s="2">
        <v>46039</v>
      </c>
      <c r="F469">
        <v>0</v>
      </c>
      <c r="G469">
        <v>0</v>
      </c>
      <c r="H469">
        <v>2333</v>
      </c>
      <c r="I469">
        <v>5223</v>
      </c>
      <c r="J469">
        <v>0</v>
      </c>
      <c r="L469">
        <v>24556</v>
      </c>
      <c r="M469">
        <v>333</v>
      </c>
      <c r="N469">
        <v>444</v>
      </c>
      <c r="O469">
        <v>222</v>
      </c>
      <c r="P469">
        <v>33111</v>
      </c>
      <c r="Q469" t="s">
        <v>151</v>
      </c>
    </row>
    <row r="470" spans="1:20" x14ac:dyDescent="0.3">
      <c r="A470" t="s">
        <v>266</v>
      </c>
      <c r="B470">
        <v>-34.804662999999998</v>
      </c>
      <c r="C470">
        <v>138.540223</v>
      </c>
      <c r="D470" s="2">
        <v>46039</v>
      </c>
      <c r="E470" s="20">
        <v>0.5</v>
      </c>
      <c r="I470">
        <v>0.16700000000000001</v>
      </c>
      <c r="J470">
        <v>0</v>
      </c>
      <c r="L470">
        <v>5.0999999999999996</v>
      </c>
      <c r="N470">
        <v>0.13300000000000001</v>
      </c>
      <c r="O470">
        <v>0.23300000000000001</v>
      </c>
      <c r="P470">
        <v>5.633</v>
      </c>
      <c r="Q470" t="s">
        <v>78</v>
      </c>
    </row>
    <row r="471" spans="1:20" x14ac:dyDescent="0.3">
      <c r="A471" t="s">
        <v>267</v>
      </c>
      <c r="B471">
        <v>-34.824044999999998</v>
      </c>
      <c r="C471">
        <v>138.48377600000001</v>
      </c>
      <c r="D471" s="2">
        <v>46039</v>
      </c>
      <c r="E471" s="20">
        <v>0.46875</v>
      </c>
      <c r="I471">
        <v>1</v>
      </c>
      <c r="J471">
        <v>0</v>
      </c>
      <c r="L471">
        <v>10.8</v>
      </c>
      <c r="N471">
        <v>2.0499999999999998</v>
      </c>
      <c r="P471">
        <v>13.85</v>
      </c>
      <c r="Q471" t="s">
        <v>78</v>
      </c>
      <c r="T471" s="2"/>
    </row>
    <row r="472" spans="1:20" x14ac:dyDescent="0.3">
      <c r="A472" t="s">
        <v>85</v>
      </c>
      <c r="B472">
        <v>-34.873964000000001</v>
      </c>
      <c r="C472">
        <v>138.488134</v>
      </c>
      <c r="D472" s="2">
        <v>46039</v>
      </c>
      <c r="E472" s="20">
        <v>0.46527777777777779</v>
      </c>
      <c r="I472">
        <v>12.6</v>
      </c>
      <c r="J472">
        <v>9.8249999999999993</v>
      </c>
      <c r="L472">
        <v>5.1749999999999998</v>
      </c>
      <c r="O472">
        <v>0.82499999999999996</v>
      </c>
      <c r="P472">
        <v>18.600000000000001</v>
      </c>
      <c r="Q472" t="s">
        <v>78</v>
      </c>
      <c r="T472" s="2"/>
    </row>
    <row r="473" spans="1:20" x14ac:dyDescent="0.3">
      <c r="A473" t="s">
        <v>242</v>
      </c>
      <c r="B473">
        <v>-34.860666999999999</v>
      </c>
      <c r="C473">
        <v>138.490938</v>
      </c>
      <c r="D473" s="2">
        <v>46039</v>
      </c>
      <c r="E473" s="20">
        <v>0.45833333333333331</v>
      </c>
      <c r="I473">
        <v>15.8</v>
      </c>
      <c r="J473">
        <v>12.44</v>
      </c>
      <c r="L473">
        <v>1.9650000000000001</v>
      </c>
      <c r="M473">
        <v>0.04</v>
      </c>
      <c r="O473">
        <v>560</v>
      </c>
      <c r="P473">
        <v>18.36</v>
      </c>
      <c r="Q473" t="s">
        <v>78</v>
      </c>
      <c r="T473" s="2"/>
    </row>
    <row r="474" spans="1:20" x14ac:dyDescent="0.3">
      <c r="A474" t="s">
        <v>243</v>
      </c>
      <c r="B474">
        <v>-34.838619999999999</v>
      </c>
      <c r="C474">
        <v>138.50473</v>
      </c>
      <c r="D474" s="2">
        <v>46039</v>
      </c>
      <c r="E474" s="20">
        <v>0.49027777777777776</v>
      </c>
      <c r="J474">
        <v>0</v>
      </c>
      <c r="L474">
        <v>54</v>
      </c>
      <c r="N474">
        <v>4</v>
      </c>
      <c r="O474">
        <v>0.56000000000000005</v>
      </c>
      <c r="P474">
        <v>95.5</v>
      </c>
      <c r="Q474" t="s">
        <v>78</v>
      </c>
      <c r="T474" s="2"/>
    </row>
    <row r="475" spans="1:20" x14ac:dyDescent="0.3">
      <c r="A475" t="s">
        <v>274</v>
      </c>
      <c r="B475">
        <v>-34.907184999999998</v>
      </c>
      <c r="C475">
        <v>137.01196300000001</v>
      </c>
      <c r="D475" s="2">
        <v>46039</v>
      </c>
      <c r="I475">
        <v>4222</v>
      </c>
      <c r="J475">
        <v>3222</v>
      </c>
      <c r="L475">
        <v>167</v>
      </c>
      <c r="N475">
        <v>667</v>
      </c>
      <c r="O475">
        <v>500</v>
      </c>
      <c r="P475">
        <v>5556</v>
      </c>
      <c r="Q475" t="s">
        <v>218</v>
      </c>
      <c r="T475" s="2"/>
    </row>
    <row r="476" spans="1:20" x14ac:dyDescent="0.3">
      <c r="A476" t="s">
        <v>275</v>
      </c>
      <c r="B476">
        <v>-35.092928999999998</v>
      </c>
      <c r="C476">
        <v>137.746825</v>
      </c>
      <c r="D476" s="2">
        <v>46039</v>
      </c>
      <c r="I476">
        <v>722</v>
      </c>
      <c r="J476">
        <v>111</v>
      </c>
      <c r="L476">
        <v>1611</v>
      </c>
      <c r="N476">
        <v>722</v>
      </c>
      <c r="O476">
        <v>889</v>
      </c>
      <c r="P476">
        <v>3944</v>
      </c>
      <c r="Q476" t="s">
        <v>218</v>
      </c>
      <c r="T476" s="2"/>
    </row>
    <row r="477" spans="1:20" x14ac:dyDescent="0.3">
      <c r="A477" t="s">
        <v>276</v>
      </c>
      <c r="B477">
        <v>-35.115721999999998</v>
      </c>
      <c r="C477">
        <v>137.75626</v>
      </c>
      <c r="D477" s="2">
        <v>46039</v>
      </c>
      <c r="I477">
        <v>278</v>
      </c>
      <c r="J477">
        <v>0</v>
      </c>
      <c r="L477">
        <v>889</v>
      </c>
      <c r="N477">
        <v>722</v>
      </c>
      <c r="O477">
        <v>556</v>
      </c>
      <c r="P477">
        <v>2445</v>
      </c>
      <c r="Q477" t="s">
        <v>218</v>
      </c>
      <c r="T477" s="2"/>
    </row>
    <row r="478" spans="1:20" x14ac:dyDescent="0.3">
      <c r="A478" t="s">
        <v>242</v>
      </c>
      <c r="B478">
        <v>-34.860666999999999</v>
      </c>
      <c r="C478">
        <v>138.490938</v>
      </c>
      <c r="D478" s="2">
        <v>46039</v>
      </c>
      <c r="F478">
        <v>0</v>
      </c>
      <c r="G478">
        <v>1.2749999999999999</v>
      </c>
      <c r="H478">
        <v>0</v>
      </c>
      <c r="I478">
        <v>16.95</v>
      </c>
      <c r="J478">
        <v>0.08</v>
      </c>
      <c r="L478">
        <v>31.43</v>
      </c>
      <c r="M478">
        <v>0.08</v>
      </c>
      <c r="N478">
        <v>0.15</v>
      </c>
      <c r="O478">
        <v>0.68</v>
      </c>
      <c r="P478">
        <v>50.55</v>
      </c>
      <c r="Q478" t="s">
        <v>78</v>
      </c>
      <c r="T478" s="2"/>
    </row>
    <row r="479" spans="1:20" x14ac:dyDescent="0.3">
      <c r="A479" t="s">
        <v>257</v>
      </c>
      <c r="B479">
        <v>-34.827359999999999</v>
      </c>
      <c r="C479">
        <v>137.45850999999999</v>
      </c>
      <c r="D479" s="2">
        <v>46040</v>
      </c>
      <c r="J479">
        <v>0</v>
      </c>
      <c r="Q479" t="s">
        <v>265</v>
      </c>
      <c r="T479" s="2"/>
    </row>
    <row r="480" spans="1:20" x14ac:dyDescent="0.3">
      <c r="A480" t="s">
        <v>209</v>
      </c>
      <c r="B480">
        <v>-35.739091000000002</v>
      </c>
      <c r="C480">
        <v>137.67788400000001</v>
      </c>
      <c r="D480" s="2">
        <v>46040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1556</v>
      </c>
      <c r="M480">
        <v>0</v>
      </c>
      <c r="N480">
        <v>0</v>
      </c>
      <c r="O480">
        <v>0</v>
      </c>
      <c r="P480">
        <v>1556</v>
      </c>
      <c r="Q480" t="s">
        <v>151</v>
      </c>
      <c r="T480" s="2"/>
    </row>
    <row r="481" spans="1:20" x14ac:dyDescent="0.3">
      <c r="A481" t="s">
        <v>269</v>
      </c>
      <c r="B481">
        <v>-34.827600699999998</v>
      </c>
      <c r="C481">
        <v>137.45846420000001</v>
      </c>
      <c r="D481" s="2">
        <v>46040</v>
      </c>
      <c r="E481" s="20">
        <v>0.74027777777777781</v>
      </c>
      <c r="I481">
        <v>3.98</v>
      </c>
      <c r="J481">
        <v>2.33</v>
      </c>
      <c r="L481">
        <v>2.85</v>
      </c>
      <c r="N481">
        <v>0.23</v>
      </c>
      <c r="O481">
        <v>0.08</v>
      </c>
      <c r="P481">
        <v>7.13</v>
      </c>
      <c r="Q481" t="s">
        <v>78</v>
      </c>
      <c r="T481" s="2"/>
    </row>
    <row r="482" spans="1:20" x14ac:dyDescent="0.3">
      <c r="A482" t="s">
        <v>268</v>
      </c>
      <c r="B482">
        <v>-34.226579999999998</v>
      </c>
      <c r="C482">
        <v>138.02018000000001</v>
      </c>
      <c r="D482" s="2">
        <v>46040</v>
      </c>
      <c r="E482" s="20">
        <v>0.84513888888888888</v>
      </c>
      <c r="I482">
        <v>2.84</v>
      </c>
      <c r="J482">
        <v>0</v>
      </c>
      <c r="L482">
        <v>51.28</v>
      </c>
      <c r="O482">
        <v>0.41</v>
      </c>
      <c r="P482">
        <v>54.53</v>
      </c>
      <c r="Q482" t="s">
        <v>78</v>
      </c>
      <c r="T482" s="2"/>
    </row>
    <row r="483" spans="1:20" x14ac:dyDescent="0.3">
      <c r="A483" t="s">
        <v>280</v>
      </c>
      <c r="B483">
        <v>-34.917679100000001</v>
      </c>
      <c r="C483">
        <v>137.0853572</v>
      </c>
      <c r="D483" s="2">
        <v>46040</v>
      </c>
      <c r="I483">
        <v>389</v>
      </c>
      <c r="J483">
        <v>111</v>
      </c>
      <c r="N483">
        <v>278</v>
      </c>
      <c r="P483">
        <v>667</v>
      </c>
      <c r="Q483" t="s">
        <v>254</v>
      </c>
      <c r="T483" s="2"/>
    </row>
    <row r="484" spans="1:20" x14ac:dyDescent="0.3">
      <c r="A484" t="s">
        <v>258</v>
      </c>
      <c r="B484">
        <v>-34.929459999999999</v>
      </c>
      <c r="C484">
        <v>137.34075999999999</v>
      </c>
      <c r="D484" s="2">
        <v>46041</v>
      </c>
      <c r="J484">
        <v>0</v>
      </c>
      <c r="Q484" t="s">
        <v>265</v>
      </c>
      <c r="T484" s="2"/>
    </row>
    <row r="485" spans="1:20" x14ac:dyDescent="0.3">
      <c r="A485" t="s">
        <v>277</v>
      </c>
      <c r="B485">
        <v>-34.970672</v>
      </c>
      <c r="C485">
        <v>136.97022799999999</v>
      </c>
      <c r="D485" s="2">
        <v>46041</v>
      </c>
      <c r="I485">
        <v>15333</v>
      </c>
      <c r="J485">
        <v>9333</v>
      </c>
      <c r="L485">
        <v>1556</v>
      </c>
      <c r="M485">
        <v>889</v>
      </c>
      <c r="N485">
        <v>1333</v>
      </c>
      <c r="O485">
        <v>444</v>
      </c>
      <c r="P485">
        <v>19555</v>
      </c>
      <c r="Q485" t="s">
        <v>254</v>
      </c>
      <c r="T485" s="2"/>
    </row>
    <row r="486" spans="1:20" x14ac:dyDescent="0.3">
      <c r="A486" t="s">
        <v>278</v>
      </c>
      <c r="B486">
        <v>-35.011718100000003</v>
      </c>
      <c r="C486">
        <v>136.94842070000001</v>
      </c>
      <c r="D486" s="2">
        <v>46041</v>
      </c>
      <c r="I486">
        <v>1056</v>
      </c>
      <c r="J486">
        <v>611</v>
      </c>
      <c r="L486">
        <v>222</v>
      </c>
      <c r="M486">
        <v>56</v>
      </c>
      <c r="N486">
        <v>278</v>
      </c>
      <c r="O486">
        <v>167</v>
      </c>
      <c r="P486">
        <v>1779</v>
      </c>
      <c r="Q486" t="s">
        <v>254</v>
      </c>
      <c r="T486" s="2"/>
    </row>
    <row r="487" spans="1:20" x14ac:dyDescent="0.3">
      <c r="A487" t="s">
        <v>279</v>
      </c>
      <c r="B487">
        <v>-34.953057899999997</v>
      </c>
      <c r="C487">
        <v>136.973341</v>
      </c>
      <c r="D487" s="2">
        <v>46041</v>
      </c>
      <c r="I487">
        <v>27889</v>
      </c>
      <c r="J487">
        <v>16667</v>
      </c>
      <c r="L487">
        <v>444</v>
      </c>
      <c r="M487">
        <v>556</v>
      </c>
      <c r="N487">
        <v>444</v>
      </c>
      <c r="P487">
        <v>29333</v>
      </c>
      <c r="Q487" t="s">
        <v>254</v>
      </c>
    </row>
    <row r="488" spans="1:20" x14ac:dyDescent="0.3">
      <c r="A488" t="s">
        <v>281</v>
      </c>
      <c r="B488">
        <v>-34.906165799999997</v>
      </c>
      <c r="C488">
        <v>137.01125089999999</v>
      </c>
      <c r="D488" s="2">
        <v>46041</v>
      </c>
      <c r="I488">
        <v>8889</v>
      </c>
      <c r="J488">
        <v>5111</v>
      </c>
      <c r="L488">
        <v>333</v>
      </c>
      <c r="M488">
        <v>333</v>
      </c>
      <c r="N488">
        <v>556</v>
      </c>
      <c r="O488">
        <v>111</v>
      </c>
      <c r="P488">
        <v>10222</v>
      </c>
      <c r="Q488" t="s">
        <v>254</v>
      </c>
    </row>
    <row r="489" spans="1:20" x14ac:dyDescent="0.3">
      <c r="A489" t="s">
        <v>385</v>
      </c>
      <c r="B489">
        <v>-35.510497000000001</v>
      </c>
      <c r="C489">
        <v>138.21676299999999</v>
      </c>
      <c r="D489" s="2">
        <v>46041</v>
      </c>
      <c r="I489">
        <v>1333</v>
      </c>
      <c r="J489">
        <v>0</v>
      </c>
      <c r="L489">
        <v>0</v>
      </c>
      <c r="N489">
        <v>3333</v>
      </c>
      <c r="P489">
        <v>4666</v>
      </c>
      <c r="Q489" t="s">
        <v>251</v>
      </c>
    </row>
    <row r="490" spans="1:20" x14ac:dyDescent="0.3">
      <c r="A490" t="s">
        <v>120</v>
      </c>
      <c r="B490">
        <v>-35.445186</v>
      </c>
      <c r="C490">
        <v>138.307424</v>
      </c>
      <c r="D490" s="2">
        <v>46041</v>
      </c>
      <c r="F490">
        <v>56</v>
      </c>
      <c r="I490">
        <v>778</v>
      </c>
      <c r="J490">
        <v>0</v>
      </c>
      <c r="L490">
        <v>0</v>
      </c>
      <c r="N490">
        <v>1889</v>
      </c>
      <c r="P490">
        <v>2723</v>
      </c>
      <c r="Q490" t="s">
        <v>251</v>
      </c>
    </row>
    <row r="491" spans="1:20" x14ac:dyDescent="0.3">
      <c r="A491" t="s">
        <v>94</v>
      </c>
      <c r="B491">
        <v>-35.58858</v>
      </c>
      <c r="C491">
        <v>138.60474600000001</v>
      </c>
      <c r="D491" s="2">
        <v>46041</v>
      </c>
      <c r="J491">
        <v>0</v>
      </c>
      <c r="N491">
        <v>222</v>
      </c>
      <c r="O491">
        <v>444</v>
      </c>
      <c r="P491">
        <v>666</v>
      </c>
      <c r="Q491" t="s">
        <v>129</v>
      </c>
    </row>
    <row r="492" spans="1:20" x14ac:dyDescent="0.3">
      <c r="A492" t="s">
        <v>89</v>
      </c>
      <c r="B492">
        <v>-35.6048446</v>
      </c>
      <c r="C492">
        <v>138.59278499999999</v>
      </c>
      <c r="D492" s="2">
        <v>46041</v>
      </c>
      <c r="G492">
        <v>56</v>
      </c>
      <c r="H492">
        <v>56</v>
      </c>
      <c r="J492">
        <v>0</v>
      </c>
      <c r="N492">
        <v>167</v>
      </c>
      <c r="O492">
        <v>222</v>
      </c>
      <c r="P492">
        <v>501</v>
      </c>
      <c r="Q492" t="s">
        <v>129</v>
      </c>
    </row>
    <row r="493" spans="1:20" x14ac:dyDescent="0.3">
      <c r="A493" t="s">
        <v>259</v>
      </c>
      <c r="B493">
        <v>-34.895150000000001</v>
      </c>
      <c r="C493">
        <v>137.24995000000001</v>
      </c>
      <c r="D493" s="2">
        <v>46042</v>
      </c>
      <c r="J493">
        <v>306</v>
      </c>
      <c r="Q493" t="s">
        <v>265</v>
      </c>
    </row>
    <row r="494" spans="1:20" x14ac:dyDescent="0.3">
      <c r="A494" t="s">
        <v>260</v>
      </c>
      <c r="B494">
        <v>-34.918889999999998</v>
      </c>
      <c r="C494">
        <v>137.30171999999999</v>
      </c>
      <c r="D494" s="2">
        <v>46042</v>
      </c>
      <c r="J494">
        <v>0</v>
      </c>
      <c r="Q494" t="s">
        <v>265</v>
      </c>
    </row>
    <row r="495" spans="1:20" x14ac:dyDescent="0.3">
      <c r="A495" t="s">
        <v>261</v>
      </c>
      <c r="B495">
        <v>-34.933680000000003</v>
      </c>
      <c r="C495">
        <v>137.35247000000001</v>
      </c>
      <c r="D495" s="2">
        <v>46042</v>
      </c>
      <c r="J495">
        <v>0</v>
      </c>
      <c r="Q495" t="s">
        <v>265</v>
      </c>
    </row>
    <row r="496" spans="1:20" x14ac:dyDescent="0.3">
      <c r="A496" t="s">
        <v>262</v>
      </c>
      <c r="B496">
        <v>-34.672490000000003</v>
      </c>
      <c r="C496">
        <v>137.49295000000001</v>
      </c>
      <c r="D496" s="2">
        <v>46042</v>
      </c>
      <c r="J496">
        <v>0</v>
      </c>
      <c r="Q496" t="s">
        <v>265</v>
      </c>
    </row>
    <row r="497" spans="1:17" x14ac:dyDescent="0.3">
      <c r="A497" t="s">
        <v>207</v>
      </c>
      <c r="B497">
        <v>-35.7987082</v>
      </c>
      <c r="C497">
        <v>137.81647699999999</v>
      </c>
      <c r="D497" s="2">
        <v>46042</v>
      </c>
      <c r="F497">
        <v>0</v>
      </c>
      <c r="G497">
        <v>0</v>
      </c>
      <c r="H497">
        <v>0</v>
      </c>
      <c r="I497">
        <v>444</v>
      </c>
      <c r="J497">
        <v>0</v>
      </c>
      <c r="K497">
        <v>0</v>
      </c>
      <c r="L497">
        <v>444</v>
      </c>
      <c r="M497">
        <v>0</v>
      </c>
      <c r="N497">
        <v>0</v>
      </c>
      <c r="O497">
        <v>0</v>
      </c>
      <c r="P497">
        <v>888</v>
      </c>
      <c r="Q497" t="s">
        <v>151</v>
      </c>
    </row>
    <row r="498" spans="1:17" x14ac:dyDescent="0.3">
      <c r="A498" t="s">
        <v>59</v>
      </c>
      <c r="B498">
        <v>-35.084850000000003</v>
      </c>
      <c r="C498">
        <v>137.74889999999999</v>
      </c>
      <c r="D498" s="2">
        <v>46042</v>
      </c>
      <c r="F498">
        <v>0</v>
      </c>
      <c r="G498">
        <v>0</v>
      </c>
      <c r="H498">
        <v>0</v>
      </c>
      <c r="I498">
        <v>83</v>
      </c>
      <c r="J498">
        <v>0</v>
      </c>
      <c r="K498">
        <v>0</v>
      </c>
      <c r="L498">
        <v>138</v>
      </c>
      <c r="N498">
        <v>805</v>
      </c>
      <c r="P498">
        <v>1026</v>
      </c>
      <c r="Q498" t="s">
        <v>149</v>
      </c>
    </row>
    <row r="499" spans="1:17" x14ac:dyDescent="0.3">
      <c r="A499" t="s">
        <v>306</v>
      </c>
      <c r="B499">
        <v>-35.110022000000001</v>
      </c>
      <c r="C499">
        <v>137.757082</v>
      </c>
      <c r="D499" s="2">
        <v>46042</v>
      </c>
      <c r="I499">
        <v>611</v>
      </c>
      <c r="J499">
        <v>389</v>
      </c>
      <c r="L499">
        <v>444</v>
      </c>
      <c r="N499">
        <v>611</v>
      </c>
      <c r="O499">
        <v>222</v>
      </c>
      <c r="P499">
        <v>1888</v>
      </c>
      <c r="Q499" t="s">
        <v>218</v>
      </c>
    </row>
    <row r="500" spans="1:17" x14ac:dyDescent="0.3">
      <c r="A500" t="s">
        <v>263</v>
      </c>
      <c r="B500">
        <v>-34.92989</v>
      </c>
      <c r="C500">
        <v>137.34662</v>
      </c>
      <c r="D500" s="2">
        <v>46043</v>
      </c>
      <c r="J500">
        <v>0</v>
      </c>
      <c r="L500">
        <v>28</v>
      </c>
      <c r="Q500" t="s">
        <v>265</v>
      </c>
    </row>
    <row r="501" spans="1:17" x14ac:dyDescent="0.3">
      <c r="A501" t="s">
        <v>261</v>
      </c>
      <c r="B501">
        <v>-34.933680000000003</v>
      </c>
      <c r="C501">
        <v>137.35247000000001</v>
      </c>
      <c r="D501" s="2">
        <v>46043</v>
      </c>
      <c r="J501">
        <v>0</v>
      </c>
      <c r="Q501" t="s">
        <v>265</v>
      </c>
    </row>
    <row r="502" spans="1:17" x14ac:dyDescent="0.3">
      <c r="A502" t="s">
        <v>287</v>
      </c>
      <c r="B502">
        <v>-34.630270000000003</v>
      </c>
      <c r="C502">
        <v>135.86533</v>
      </c>
      <c r="D502" s="2">
        <v>46044</v>
      </c>
      <c r="I502">
        <v>722</v>
      </c>
      <c r="J502">
        <v>0</v>
      </c>
      <c r="L502">
        <v>1000</v>
      </c>
      <c r="O502">
        <v>1167</v>
      </c>
      <c r="P502">
        <v>2889</v>
      </c>
      <c r="Q502" t="s">
        <v>283</v>
      </c>
    </row>
    <row r="503" spans="1:17" x14ac:dyDescent="0.3">
      <c r="A503" t="s">
        <v>288</v>
      </c>
      <c r="B503">
        <v>-34.629179999999998</v>
      </c>
      <c r="C503">
        <v>135.86635000000001</v>
      </c>
      <c r="D503" s="2">
        <v>46044</v>
      </c>
      <c r="I503">
        <v>111</v>
      </c>
      <c r="J503">
        <v>0</v>
      </c>
      <c r="L503">
        <v>556</v>
      </c>
      <c r="O503">
        <v>278</v>
      </c>
      <c r="P503">
        <v>945</v>
      </c>
      <c r="Q503" t="s">
        <v>283</v>
      </c>
    </row>
    <row r="504" spans="1:17" x14ac:dyDescent="0.3">
      <c r="A504" t="s">
        <v>289</v>
      </c>
      <c r="B504">
        <v>-34.628860000000003</v>
      </c>
      <c r="C504">
        <v>135.86708999999999</v>
      </c>
      <c r="D504" s="2">
        <v>46044</v>
      </c>
      <c r="I504">
        <v>167</v>
      </c>
      <c r="J504">
        <v>0</v>
      </c>
      <c r="L504">
        <v>500</v>
      </c>
      <c r="O504">
        <v>56</v>
      </c>
      <c r="P504">
        <v>723</v>
      </c>
      <c r="Q504" t="s">
        <v>283</v>
      </c>
    </row>
    <row r="505" spans="1:17" x14ac:dyDescent="0.3">
      <c r="A505" t="s">
        <v>211</v>
      </c>
      <c r="B505">
        <v>-35.515507999999997</v>
      </c>
      <c r="C505">
        <v>138.729004</v>
      </c>
      <c r="D505" s="2">
        <v>46044</v>
      </c>
      <c r="F505" s="1"/>
      <c r="G505" s="1"/>
      <c r="H505" s="1"/>
      <c r="I505" s="1">
        <v>167</v>
      </c>
      <c r="J505" s="1">
        <v>0</v>
      </c>
      <c r="K505" s="1"/>
      <c r="L505" s="1">
        <v>0</v>
      </c>
      <c r="M505" s="1"/>
      <c r="N505" s="1"/>
      <c r="O505" s="1"/>
      <c r="P505" s="1"/>
      <c r="Q505" t="s">
        <v>186</v>
      </c>
    </row>
    <row r="506" spans="1:17" x14ac:dyDescent="0.3">
      <c r="A506" t="s">
        <v>187</v>
      </c>
      <c r="B506">
        <v>-35.516800000000003</v>
      </c>
      <c r="C506">
        <v>138.70439999999999</v>
      </c>
      <c r="D506" s="2">
        <v>46044</v>
      </c>
      <c r="F506" s="1"/>
      <c r="G506" s="1"/>
      <c r="H506" s="1"/>
      <c r="I506" s="1">
        <v>222</v>
      </c>
      <c r="J506" s="1">
        <v>0</v>
      </c>
      <c r="K506" s="1"/>
      <c r="L506" s="1">
        <v>0</v>
      </c>
      <c r="M506" s="1"/>
      <c r="N506" s="1"/>
      <c r="O506" s="1"/>
      <c r="P506" s="1"/>
      <c r="Q506" t="s">
        <v>186</v>
      </c>
    </row>
    <row r="507" spans="1:17" x14ac:dyDescent="0.3">
      <c r="A507" t="s">
        <v>185</v>
      </c>
      <c r="B507">
        <v>-35.538469999999997</v>
      </c>
      <c r="C507">
        <v>138.649779</v>
      </c>
      <c r="D507" s="2">
        <v>46044</v>
      </c>
      <c r="I507">
        <v>111</v>
      </c>
      <c r="J507">
        <v>0</v>
      </c>
      <c r="L507">
        <v>111</v>
      </c>
      <c r="Q507" t="s">
        <v>186</v>
      </c>
    </row>
    <row r="508" spans="1:17" x14ac:dyDescent="0.3">
      <c r="A508" t="s">
        <v>91</v>
      </c>
      <c r="B508">
        <v>-35.536168000000004</v>
      </c>
      <c r="C508">
        <v>138.677615</v>
      </c>
      <c r="D508" s="2">
        <v>46044</v>
      </c>
      <c r="I508" s="1">
        <v>222</v>
      </c>
      <c r="J508">
        <v>0</v>
      </c>
      <c r="L508" s="1">
        <v>0</v>
      </c>
      <c r="Q508" t="s">
        <v>186</v>
      </c>
    </row>
    <row r="509" spans="1:17" x14ac:dyDescent="0.3">
      <c r="A509" t="s">
        <v>188</v>
      </c>
      <c r="B509">
        <v>-35.592393000000001</v>
      </c>
      <c r="C509">
        <v>138.599706</v>
      </c>
      <c r="D509" s="2">
        <v>46044</v>
      </c>
      <c r="I509" s="1">
        <v>167</v>
      </c>
      <c r="J509">
        <v>0</v>
      </c>
      <c r="L509" s="1">
        <v>111</v>
      </c>
      <c r="Q509" t="s">
        <v>186</v>
      </c>
    </row>
    <row r="510" spans="1:17" x14ac:dyDescent="0.3">
      <c r="A510" t="s">
        <v>92</v>
      </c>
      <c r="B510">
        <v>-35.634602000000001</v>
      </c>
      <c r="C510">
        <v>138.49898300000001</v>
      </c>
      <c r="D510" s="2">
        <v>46044</v>
      </c>
      <c r="I510" s="1">
        <v>111</v>
      </c>
      <c r="J510">
        <v>167</v>
      </c>
      <c r="L510" s="1">
        <v>111</v>
      </c>
      <c r="Q510" t="s">
        <v>186</v>
      </c>
    </row>
    <row r="511" spans="1:17" x14ac:dyDescent="0.3">
      <c r="A511" t="s">
        <v>223</v>
      </c>
      <c r="B511">
        <v>-35.557977000000001</v>
      </c>
      <c r="C511">
        <v>138.61909</v>
      </c>
      <c r="D511" s="2">
        <v>46044</v>
      </c>
      <c r="I511" s="1">
        <v>111</v>
      </c>
      <c r="J511">
        <v>0</v>
      </c>
      <c r="L511" s="1">
        <v>167</v>
      </c>
      <c r="Q511" t="s">
        <v>186</v>
      </c>
    </row>
    <row r="512" spans="1:17" x14ac:dyDescent="0.3">
      <c r="A512" t="s">
        <v>287</v>
      </c>
      <c r="B512">
        <v>-34.630270000000003</v>
      </c>
      <c r="C512">
        <v>135.86533</v>
      </c>
      <c r="D512" s="2">
        <v>46046</v>
      </c>
      <c r="I512">
        <v>1556</v>
      </c>
      <c r="J512">
        <v>0</v>
      </c>
      <c r="L512">
        <v>889</v>
      </c>
      <c r="O512">
        <v>444</v>
      </c>
      <c r="P512">
        <v>2889</v>
      </c>
      <c r="Q512" t="s">
        <v>283</v>
      </c>
    </row>
    <row r="513" spans="1:17" x14ac:dyDescent="0.3">
      <c r="A513" t="s">
        <v>287</v>
      </c>
      <c r="B513">
        <v>-34.630270000000003</v>
      </c>
      <c r="C513">
        <v>135.86533</v>
      </c>
      <c r="D513" s="2">
        <v>46046</v>
      </c>
      <c r="I513">
        <v>1556</v>
      </c>
      <c r="J513">
        <v>0</v>
      </c>
      <c r="L513">
        <v>889</v>
      </c>
      <c r="O513">
        <v>444</v>
      </c>
      <c r="P513">
        <v>2889</v>
      </c>
      <c r="Q513" t="s">
        <v>283</v>
      </c>
    </row>
    <row r="514" spans="1:17" x14ac:dyDescent="0.3">
      <c r="A514" t="s">
        <v>299</v>
      </c>
      <c r="B514">
        <v>-35.119663000000003</v>
      </c>
      <c r="C514">
        <v>138.46739500000001</v>
      </c>
      <c r="D514" s="2">
        <v>46046</v>
      </c>
      <c r="E514" s="20">
        <v>0.77083333333333337</v>
      </c>
      <c r="F514">
        <v>3.7499999999999999E-2</v>
      </c>
      <c r="G514">
        <v>0.45</v>
      </c>
      <c r="H514">
        <v>0</v>
      </c>
      <c r="I514">
        <v>2.1</v>
      </c>
      <c r="J514">
        <v>0</v>
      </c>
      <c r="K514">
        <v>0</v>
      </c>
      <c r="L514">
        <v>5.85</v>
      </c>
      <c r="M514">
        <v>0</v>
      </c>
      <c r="N514">
        <v>0.3</v>
      </c>
      <c r="O514">
        <v>0</v>
      </c>
      <c r="P514">
        <v>8.74</v>
      </c>
      <c r="Q514" t="s">
        <v>78</v>
      </c>
    </row>
    <row r="515" spans="1:17" x14ac:dyDescent="0.3">
      <c r="A515" t="s">
        <v>179</v>
      </c>
      <c r="B515">
        <v>-35.078539999999997</v>
      </c>
      <c r="C515">
        <v>138.49587</v>
      </c>
      <c r="D515" s="2">
        <v>46046</v>
      </c>
      <c r="E515" s="20">
        <v>0.76041666666666663</v>
      </c>
      <c r="F515">
        <v>0</v>
      </c>
      <c r="G515">
        <v>0</v>
      </c>
      <c r="H515">
        <v>0</v>
      </c>
      <c r="I515">
        <v>0.6</v>
      </c>
      <c r="J515">
        <v>0</v>
      </c>
      <c r="K515">
        <v>0</v>
      </c>
      <c r="L515">
        <v>28.8</v>
      </c>
      <c r="M515">
        <v>0.9</v>
      </c>
      <c r="N515">
        <v>1.5</v>
      </c>
      <c r="O515">
        <v>0.3</v>
      </c>
      <c r="P515">
        <v>32.1</v>
      </c>
      <c r="Q515" t="s">
        <v>78</v>
      </c>
    </row>
    <row r="516" spans="1:17" x14ac:dyDescent="0.3">
      <c r="A516" t="s">
        <v>300</v>
      </c>
      <c r="B516">
        <v>-35.031672</v>
      </c>
      <c r="C516">
        <v>138.51659599999999</v>
      </c>
      <c r="D516" s="2">
        <v>46046</v>
      </c>
      <c r="E516" s="20">
        <v>0.73958333333333337</v>
      </c>
      <c r="F516">
        <v>0</v>
      </c>
      <c r="G516">
        <v>0</v>
      </c>
      <c r="H516">
        <v>0</v>
      </c>
      <c r="I516">
        <v>0.82</v>
      </c>
      <c r="J516">
        <v>0</v>
      </c>
      <c r="K516">
        <v>0</v>
      </c>
      <c r="L516">
        <v>8.35</v>
      </c>
      <c r="M516">
        <v>0.35</v>
      </c>
      <c r="N516">
        <v>0.06</v>
      </c>
      <c r="O516">
        <v>0</v>
      </c>
      <c r="P516">
        <v>9.59</v>
      </c>
      <c r="Q516" t="s">
        <v>78</v>
      </c>
    </row>
    <row r="517" spans="1:17" x14ac:dyDescent="0.3">
      <c r="A517" t="s">
        <v>302</v>
      </c>
      <c r="B517">
        <v>-35.762554199999997</v>
      </c>
      <c r="C517">
        <v>137.8867127</v>
      </c>
      <c r="D517" s="2">
        <v>46046</v>
      </c>
      <c r="F517">
        <v>0</v>
      </c>
      <c r="G517">
        <v>0</v>
      </c>
      <c r="H517">
        <v>667</v>
      </c>
      <c r="I517">
        <v>444</v>
      </c>
      <c r="J517">
        <v>0</v>
      </c>
      <c r="K517">
        <v>0</v>
      </c>
      <c r="L517">
        <v>2556</v>
      </c>
      <c r="M517">
        <v>222</v>
      </c>
      <c r="N517">
        <v>1111</v>
      </c>
      <c r="O517">
        <v>333</v>
      </c>
      <c r="P517">
        <v>5333</v>
      </c>
      <c r="Q517" t="s">
        <v>151</v>
      </c>
    </row>
    <row r="518" spans="1:17" x14ac:dyDescent="0.3">
      <c r="A518" t="s">
        <v>304</v>
      </c>
      <c r="B518">
        <v>-35.511125999999997</v>
      </c>
      <c r="C518">
        <v>138.218144</v>
      </c>
      <c r="D518" s="2">
        <v>46046</v>
      </c>
      <c r="I518">
        <v>167</v>
      </c>
      <c r="J518">
        <v>0</v>
      </c>
      <c r="L518">
        <v>167</v>
      </c>
      <c r="N518">
        <v>3333</v>
      </c>
      <c r="O518">
        <v>667</v>
      </c>
      <c r="P518">
        <v>4334</v>
      </c>
      <c r="Q518" t="s">
        <v>251</v>
      </c>
    </row>
    <row r="519" spans="1:17" x14ac:dyDescent="0.3">
      <c r="A519" t="s">
        <v>303</v>
      </c>
      <c r="B519">
        <v>-35.793973000000001</v>
      </c>
      <c r="C519">
        <v>137.852418</v>
      </c>
      <c r="D519" s="2">
        <v>46047</v>
      </c>
      <c r="F519">
        <v>2778</v>
      </c>
      <c r="G519">
        <v>0</v>
      </c>
      <c r="H519">
        <v>333</v>
      </c>
      <c r="I519">
        <v>1444</v>
      </c>
      <c r="J519">
        <v>0</v>
      </c>
      <c r="K519">
        <v>0</v>
      </c>
      <c r="L519">
        <v>7222</v>
      </c>
      <c r="M519">
        <v>333</v>
      </c>
      <c r="N519">
        <v>778</v>
      </c>
      <c r="O519">
        <v>333</v>
      </c>
      <c r="P519">
        <v>13444</v>
      </c>
      <c r="Q519" t="s">
        <v>151</v>
      </c>
    </row>
    <row r="520" spans="1:17" x14ac:dyDescent="0.3">
      <c r="A520" t="s">
        <v>307</v>
      </c>
      <c r="B520">
        <v>-35.132868999999999</v>
      </c>
      <c r="C520">
        <v>137.58725699999999</v>
      </c>
      <c r="D520" s="2">
        <v>46047</v>
      </c>
      <c r="I520">
        <v>111</v>
      </c>
      <c r="J520">
        <v>0</v>
      </c>
      <c r="L520">
        <v>167</v>
      </c>
      <c r="N520">
        <v>1000</v>
      </c>
      <c r="O520">
        <v>389</v>
      </c>
      <c r="P520">
        <v>1667</v>
      </c>
      <c r="Q520" t="s">
        <v>218</v>
      </c>
    </row>
    <row r="521" spans="1:17" x14ac:dyDescent="0.3">
      <c r="A521" t="s">
        <v>301</v>
      </c>
      <c r="B521">
        <v>-34.899749999999997</v>
      </c>
      <c r="C521">
        <v>137.45174</v>
      </c>
      <c r="D521" s="2">
        <v>46048</v>
      </c>
      <c r="I521">
        <v>139</v>
      </c>
      <c r="J521">
        <v>0</v>
      </c>
      <c r="L521">
        <v>28</v>
      </c>
      <c r="N521">
        <v>28</v>
      </c>
      <c r="P521">
        <v>194</v>
      </c>
      <c r="Q521" t="s">
        <v>265</v>
      </c>
    </row>
    <row r="522" spans="1:17" x14ac:dyDescent="0.3">
      <c r="A522" t="s">
        <v>230</v>
      </c>
      <c r="B522">
        <v>-35.054707999999998</v>
      </c>
      <c r="C522">
        <v>137.725145</v>
      </c>
      <c r="D522" s="2">
        <v>46048</v>
      </c>
      <c r="I522">
        <v>46333</v>
      </c>
      <c r="J522">
        <v>0</v>
      </c>
      <c r="L522">
        <v>2000</v>
      </c>
      <c r="N522">
        <v>170667</v>
      </c>
      <c r="O522">
        <v>5333</v>
      </c>
      <c r="P522">
        <v>224333</v>
      </c>
      <c r="Q522" t="s">
        <v>218</v>
      </c>
    </row>
    <row r="523" spans="1:17" x14ac:dyDescent="0.3">
      <c r="A523" t="s">
        <v>346</v>
      </c>
      <c r="B523">
        <v>-33.040959000000001</v>
      </c>
      <c r="C523">
        <v>137.59030799999999</v>
      </c>
      <c r="D523" s="2">
        <v>46048</v>
      </c>
      <c r="I523">
        <v>556</v>
      </c>
      <c r="J523">
        <v>0</v>
      </c>
      <c r="L523">
        <v>2223</v>
      </c>
      <c r="O523">
        <v>556</v>
      </c>
      <c r="P523">
        <v>3335</v>
      </c>
      <c r="Q523" t="s">
        <v>347</v>
      </c>
    </row>
    <row r="524" spans="1:17" x14ac:dyDescent="0.3">
      <c r="A524" t="s">
        <v>290</v>
      </c>
      <c r="B524">
        <v>-33.917679999999997</v>
      </c>
      <c r="C524">
        <v>136.5752</v>
      </c>
      <c r="D524" s="2">
        <v>46049</v>
      </c>
      <c r="I524">
        <v>0</v>
      </c>
      <c r="J524">
        <v>0</v>
      </c>
      <c r="L524">
        <v>389</v>
      </c>
      <c r="N524">
        <v>3389</v>
      </c>
      <c r="O524">
        <v>556</v>
      </c>
      <c r="P524">
        <v>4334</v>
      </c>
      <c r="Q524" t="s">
        <v>283</v>
      </c>
    </row>
    <row r="525" spans="1:17" x14ac:dyDescent="0.3">
      <c r="A525" t="s">
        <v>291</v>
      </c>
      <c r="B525">
        <v>-33.922530000000002</v>
      </c>
      <c r="C525">
        <v>136.56854000000001</v>
      </c>
      <c r="D525" s="2">
        <v>46049</v>
      </c>
      <c r="I525">
        <v>444</v>
      </c>
      <c r="J525">
        <v>0</v>
      </c>
      <c r="L525">
        <v>3556</v>
      </c>
      <c r="N525">
        <v>8333</v>
      </c>
      <c r="O525">
        <v>389</v>
      </c>
      <c r="P525">
        <v>12722</v>
      </c>
      <c r="Q525" t="s">
        <v>283</v>
      </c>
    </row>
    <row r="526" spans="1:17" x14ac:dyDescent="0.3">
      <c r="A526" t="s">
        <v>292</v>
      </c>
      <c r="B526">
        <v>-33.912199999999999</v>
      </c>
      <c r="C526">
        <v>136.58448999999999</v>
      </c>
      <c r="D526" s="2">
        <v>46049</v>
      </c>
      <c r="I526">
        <v>167</v>
      </c>
      <c r="J526">
        <v>0</v>
      </c>
      <c r="L526">
        <v>167</v>
      </c>
      <c r="N526">
        <v>1667</v>
      </c>
      <c r="O526">
        <v>333</v>
      </c>
      <c r="P526">
        <v>2334</v>
      </c>
      <c r="Q526" t="s">
        <v>283</v>
      </c>
    </row>
    <row r="527" spans="1:17" x14ac:dyDescent="0.3">
      <c r="A527" t="s">
        <v>258</v>
      </c>
      <c r="B527">
        <v>-34.929459999999999</v>
      </c>
      <c r="C527">
        <v>137.34075999999999</v>
      </c>
      <c r="D527" s="2">
        <v>46049</v>
      </c>
      <c r="J527">
        <v>0</v>
      </c>
      <c r="P527">
        <v>0</v>
      </c>
      <c r="Q527" t="s">
        <v>265</v>
      </c>
    </row>
    <row r="528" spans="1:17" x14ac:dyDescent="0.3">
      <c r="A528" t="s">
        <v>261</v>
      </c>
      <c r="B528">
        <v>-34.933680000000003</v>
      </c>
      <c r="C528">
        <v>137.35247000000001</v>
      </c>
      <c r="D528" s="2">
        <v>46049</v>
      </c>
      <c r="J528">
        <v>0</v>
      </c>
      <c r="P528">
        <v>0</v>
      </c>
      <c r="Q528" t="s">
        <v>265</v>
      </c>
    </row>
    <row r="529" spans="1:17" x14ac:dyDescent="0.3">
      <c r="A529" t="s">
        <v>305</v>
      </c>
      <c r="B529">
        <v>-35.594605999999999</v>
      </c>
      <c r="C529">
        <v>138.105254</v>
      </c>
      <c r="D529" s="2">
        <v>46049</v>
      </c>
      <c r="F529">
        <v>0</v>
      </c>
      <c r="I529">
        <v>1167</v>
      </c>
      <c r="J529">
        <v>0</v>
      </c>
      <c r="L529">
        <v>1389</v>
      </c>
      <c r="N529">
        <v>2611</v>
      </c>
      <c r="O529">
        <v>5167</v>
      </c>
      <c r="P529">
        <v>10334</v>
      </c>
      <c r="Q529" t="s">
        <v>251</v>
      </c>
    </row>
    <row r="530" spans="1:17" x14ac:dyDescent="0.3">
      <c r="A530" t="s">
        <v>311</v>
      </c>
      <c r="B530">
        <v>-35.510753999999999</v>
      </c>
      <c r="C530">
        <v>138.214427</v>
      </c>
      <c r="D530" s="2">
        <v>46050</v>
      </c>
      <c r="F530">
        <v>1722</v>
      </c>
      <c r="I530">
        <v>500</v>
      </c>
      <c r="J530">
        <v>0</v>
      </c>
      <c r="L530">
        <v>333</v>
      </c>
      <c r="N530">
        <v>2722</v>
      </c>
      <c r="O530">
        <v>56</v>
      </c>
      <c r="P530">
        <v>5333</v>
      </c>
      <c r="Q530" t="s">
        <v>251</v>
      </c>
    </row>
    <row r="531" spans="1:17" x14ac:dyDescent="0.3">
      <c r="A531" t="s">
        <v>100</v>
      </c>
      <c r="B531">
        <v>-35.536745000000003</v>
      </c>
      <c r="C531">
        <v>138.6913744</v>
      </c>
      <c r="D531" s="2">
        <v>46050</v>
      </c>
      <c r="J531">
        <v>0</v>
      </c>
      <c r="N531">
        <v>111</v>
      </c>
      <c r="P531">
        <v>111</v>
      </c>
      <c r="Q531" t="s">
        <v>129</v>
      </c>
    </row>
    <row r="532" spans="1:17" x14ac:dyDescent="0.3">
      <c r="A532" t="s">
        <v>86</v>
      </c>
      <c r="B532">
        <v>-35.540277000000003</v>
      </c>
      <c r="C532">
        <v>138.66416599999999</v>
      </c>
      <c r="D532" s="2">
        <v>46050</v>
      </c>
      <c r="J532">
        <v>0</v>
      </c>
      <c r="L532">
        <v>167</v>
      </c>
      <c r="O532">
        <v>167</v>
      </c>
      <c r="P532">
        <v>334</v>
      </c>
      <c r="Q532" t="s">
        <v>129</v>
      </c>
    </row>
    <row r="533" spans="1:17" x14ac:dyDescent="0.3">
      <c r="A533" t="s">
        <v>87</v>
      </c>
      <c r="B533">
        <v>-35.573300000000003</v>
      </c>
      <c r="C533">
        <v>138.64250000000001</v>
      </c>
      <c r="D533" s="2">
        <v>46050</v>
      </c>
      <c r="I533">
        <v>111</v>
      </c>
      <c r="J533">
        <v>0</v>
      </c>
      <c r="L533">
        <v>111</v>
      </c>
      <c r="N533">
        <v>278</v>
      </c>
      <c r="O533">
        <v>56</v>
      </c>
      <c r="P533">
        <v>556</v>
      </c>
      <c r="Q533" t="s">
        <v>129</v>
      </c>
    </row>
    <row r="534" spans="1:17" x14ac:dyDescent="0.3">
      <c r="A534" t="s">
        <v>88</v>
      </c>
      <c r="B534">
        <v>-35.581124000000003</v>
      </c>
      <c r="C534">
        <v>138.60879700000001</v>
      </c>
      <c r="D534" s="2">
        <v>46050</v>
      </c>
      <c r="H534">
        <v>56</v>
      </c>
      <c r="I534">
        <v>56</v>
      </c>
      <c r="J534">
        <v>0</v>
      </c>
      <c r="L534">
        <v>111</v>
      </c>
      <c r="N534">
        <v>333</v>
      </c>
      <c r="O534">
        <v>389</v>
      </c>
      <c r="P534">
        <v>945</v>
      </c>
      <c r="Q534" t="s">
        <v>129</v>
      </c>
    </row>
    <row r="535" spans="1:17" x14ac:dyDescent="0.3">
      <c r="A535" t="s">
        <v>295</v>
      </c>
      <c r="B535">
        <v>-35.6048446</v>
      </c>
      <c r="C535">
        <v>138.59278499999999</v>
      </c>
      <c r="D535" s="2">
        <v>46050</v>
      </c>
      <c r="H535">
        <v>56</v>
      </c>
      <c r="J535">
        <v>0</v>
      </c>
      <c r="L535">
        <v>56</v>
      </c>
      <c r="N535">
        <v>278</v>
      </c>
      <c r="O535">
        <v>389</v>
      </c>
      <c r="P535">
        <v>779</v>
      </c>
      <c r="Q535" t="s">
        <v>129</v>
      </c>
    </row>
    <row r="536" spans="1:17" x14ac:dyDescent="0.3">
      <c r="A536" t="s">
        <v>297</v>
      </c>
      <c r="B536">
        <v>-35.63158</v>
      </c>
      <c r="C536">
        <v>138.56762000000001</v>
      </c>
      <c r="D536" s="2">
        <v>46050</v>
      </c>
      <c r="H536">
        <v>56</v>
      </c>
      <c r="I536">
        <v>56</v>
      </c>
      <c r="J536">
        <v>0</v>
      </c>
      <c r="N536">
        <v>167</v>
      </c>
      <c r="O536">
        <v>833</v>
      </c>
      <c r="P536">
        <v>1112</v>
      </c>
      <c r="Q536" t="s">
        <v>129</v>
      </c>
    </row>
    <row r="537" spans="1:17" x14ac:dyDescent="0.3">
      <c r="A537" t="s">
        <v>298</v>
      </c>
      <c r="B537">
        <v>-35.612963000000001</v>
      </c>
      <c r="C537">
        <v>138.60035300000001</v>
      </c>
      <c r="D537" s="2">
        <v>46050</v>
      </c>
      <c r="G537">
        <v>111</v>
      </c>
      <c r="I537">
        <v>223</v>
      </c>
      <c r="J537">
        <v>111</v>
      </c>
      <c r="L537">
        <v>56</v>
      </c>
      <c r="N537">
        <v>1056</v>
      </c>
      <c r="O537">
        <v>667</v>
      </c>
      <c r="P537">
        <v>2113</v>
      </c>
      <c r="Q537" t="s">
        <v>129</v>
      </c>
    </row>
    <row r="538" spans="1:17" x14ac:dyDescent="0.3">
      <c r="A538" t="s">
        <v>318</v>
      </c>
      <c r="B538">
        <v>-34.911830000000002</v>
      </c>
      <c r="C538">
        <v>137.16248999999999</v>
      </c>
      <c r="D538" s="2">
        <v>46050</v>
      </c>
      <c r="I538">
        <v>1667</v>
      </c>
      <c r="J538">
        <v>1667</v>
      </c>
      <c r="O538">
        <v>56</v>
      </c>
      <c r="P538">
        <v>1723</v>
      </c>
      <c r="Q538" t="s">
        <v>265</v>
      </c>
    </row>
    <row r="539" spans="1:17" x14ac:dyDescent="0.3">
      <c r="A539" t="s">
        <v>309</v>
      </c>
      <c r="B539">
        <v>-35.089612000000002</v>
      </c>
      <c r="C539">
        <v>137.748391</v>
      </c>
      <c r="D539" s="2">
        <v>46052</v>
      </c>
      <c r="I539">
        <v>278</v>
      </c>
      <c r="J539">
        <v>0</v>
      </c>
      <c r="L539">
        <v>1000</v>
      </c>
      <c r="N539">
        <v>778</v>
      </c>
      <c r="O539">
        <v>611</v>
      </c>
      <c r="P539">
        <v>2667</v>
      </c>
      <c r="Q539" t="s">
        <v>218</v>
      </c>
    </row>
    <row r="540" spans="1:17" x14ac:dyDescent="0.3">
      <c r="A540" t="s">
        <v>308</v>
      </c>
      <c r="B540">
        <v>-34.994472000000002</v>
      </c>
      <c r="C540">
        <v>137.75879399999999</v>
      </c>
      <c r="D540" s="2">
        <v>46052</v>
      </c>
      <c r="I540">
        <v>278</v>
      </c>
      <c r="J540">
        <v>56</v>
      </c>
      <c r="L540">
        <v>222</v>
      </c>
      <c r="O540">
        <v>167</v>
      </c>
      <c r="P540">
        <v>667</v>
      </c>
      <c r="Q540" t="s">
        <v>218</v>
      </c>
    </row>
    <row r="541" spans="1:17" x14ac:dyDescent="0.3">
      <c r="A541" t="s">
        <v>310</v>
      </c>
      <c r="B541">
        <v>-35.522570000000002</v>
      </c>
      <c r="C541">
        <v>138.193851</v>
      </c>
      <c r="D541" s="2">
        <v>46052</v>
      </c>
      <c r="F541">
        <v>56</v>
      </c>
      <c r="I541">
        <v>278</v>
      </c>
      <c r="J541">
        <v>0</v>
      </c>
      <c r="L541">
        <v>167</v>
      </c>
      <c r="N541">
        <v>389</v>
      </c>
      <c r="O541">
        <v>722</v>
      </c>
      <c r="P541">
        <v>1612</v>
      </c>
      <c r="Q541" t="s">
        <v>251</v>
      </c>
    </row>
    <row r="542" spans="1:17" x14ac:dyDescent="0.3">
      <c r="A542" t="s">
        <v>212</v>
      </c>
      <c r="B542">
        <v>-34.751460000000002</v>
      </c>
      <c r="C542">
        <v>137.47702000000001</v>
      </c>
      <c r="D542" s="2">
        <v>46052</v>
      </c>
      <c r="J542">
        <v>0</v>
      </c>
      <c r="P542">
        <v>0</v>
      </c>
      <c r="Q542" t="s">
        <v>265</v>
      </c>
    </row>
    <row r="543" spans="1:17" x14ac:dyDescent="0.3">
      <c r="A543" t="s">
        <v>266</v>
      </c>
      <c r="B543">
        <v>-34.804662999999998</v>
      </c>
      <c r="C543">
        <v>138.540223</v>
      </c>
      <c r="D543" s="2">
        <v>46053</v>
      </c>
      <c r="E543" s="20">
        <v>0.30555555555555558</v>
      </c>
      <c r="F543">
        <v>0</v>
      </c>
      <c r="G543">
        <v>0</v>
      </c>
      <c r="H543">
        <v>0</v>
      </c>
      <c r="I543">
        <v>1.28</v>
      </c>
      <c r="J543">
        <v>0</v>
      </c>
      <c r="L543">
        <v>13.58</v>
      </c>
      <c r="N543">
        <v>0.08</v>
      </c>
      <c r="P543">
        <v>14.93</v>
      </c>
      <c r="Q543" t="s">
        <v>78</v>
      </c>
    </row>
    <row r="544" spans="1:17" x14ac:dyDescent="0.3">
      <c r="A544" t="s">
        <v>267</v>
      </c>
      <c r="B544">
        <v>-34.824044999999998</v>
      </c>
      <c r="C544">
        <v>138.48377600000001</v>
      </c>
      <c r="D544" s="2">
        <v>46053</v>
      </c>
      <c r="E544" s="20">
        <v>0.375</v>
      </c>
      <c r="F544">
        <v>0</v>
      </c>
      <c r="G544">
        <v>9</v>
      </c>
      <c r="H544">
        <v>0</v>
      </c>
      <c r="I544">
        <v>0.9</v>
      </c>
      <c r="J544">
        <v>0</v>
      </c>
      <c r="L544">
        <v>7.6</v>
      </c>
      <c r="M544">
        <v>1</v>
      </c>
      <c r="N544">
        <v>0.3</v>
      </c>
      <c r="O544">
        <v>1.9</v>
      </c>
      <c r="P544">
        <v>20.2</v>
      </c>
      <c r="Q544" t="s">
        <v>78</v>
      </c>
    </row>
    <row r="545" spans="1:17" x14ac:dyDescent="0.3">
      <c r="A545" t="s">
        <v>85</v>
      </c>
      <c r="B545">
        <v>-34.873964000000001</v>
      </c>
      <c r="C545">
        <v>138.488134</v>
      </c>
      <c r="D545" s="2">
        <v>46053</v>
      </c>
      <c r="E545" s="20">
        <v>0.39166666666666666</v>
      </c>
      <c r="F545">
        <v>0</v>
      </c>
      <c r="G545">
        <v>0.15</v>
      </c>
      <c r="H545">
        <v>0</v>
      </c>
      <c r="I545">
        <v>39.83</v>
      </c>
      <c r="J545">
        <v>5.4</v>
      </c>
      <c r="L545">
        <v>2.1</v>
      </c>
      <c r="M545">
        <v>0</v>
      </c>
      <c r="O545">
        <v>0.9</v>
      </c>
      <c r="P545">
        <v>43.13</v>
      </c>
      <c r="Q545" t="s">
        <v>78</v>
      </c>
    </row>
    <row r="546" spans="1:17" x14ac:dyDescent="0.3">
      <c r="A546" t="s">
        <v>324</v>
      </c>
      <c r="B546">
        <v>-34.920539599999998</v>
      </c>
      <c r="C546">
        <v>137.01218679999999</v>
      </c>
      <c r="D546" s="2">
        <v>46053</v>
      </c>
      <c r="I546">
        <v>5000</v>
      </c>
      <c r="J546">
        <v>4556</v>
      </c>
      <c r="L546">
        <v>3556</v>
      </c>
      <c r="N546">
        <v>167</v>
      </c>
      <c r="O546">
        <v>223</v>
      </c>
      <c r="P546">
        <v>8946</v>
      </c>
      <c r="Q546" t="s">
        <v>218</v>
      </c>
    </row>
    <row r="547" spans="1:17" x14ac:dyDescent="0.3">
      <c r="A547" t="s">
        <v>323</v>
      </c>
      <c r="B547">
        <v>-35.085709299999998</v>
      </c>
      <c r="C547">
        <v>136.96101970000001</v>
      </c>
      <c r="D547" s="2">
        <v>46053</v>
      </c>
      <c r="I547">
        <v>4111</v>
      </c>
      <c r="J547">
        <v>1778</v>
      </c>
      <c r="L547">
        <v>333</v>
      </c>
      <c r="N547">
        <v>1444</v>
      </c>
      <c r="P547">
        <v>5888</v>
      </c>
      <c r="Q547" t="s">
        <v>254</v>
      </c>
    </row>
    <row r="548" spans="1:17" x14ac:dyDescent="0.3">
      <c r="A548" t="s">
        <v>312</v>
      </c>
      <c r="B548">
        <v>-35.445188000000002</v>
      </c>
      <c r="C548">
        <v>138.307266</v>
      </c>
      <c r="D548" s="2">
        <v>46055</v>
      </c>
      <c r="I548">
        <v>0</v>
      </c>
      <c r="J548">
        <v>0</v>
      </c>
      <c r="L548">
        <v>56</v>
      </c>
      <c r="N548">
        <v>778</v>
      </c>
      <c r="O548">
        <v>56</v>
      </c>
      <c r="P548">
        <v>890</v>
      </c>
      <c r="Q548" t="s">
        <v>251</v>
      </c>
    </row>
    <row r="549" spans="1:17" x14ac:dyDescent="0.3">
      <c r="A549" t="s">
        <v>313</v>
      </c>
      <c r="B549">
        <v>-35.516500000000001</v>
      </c>
      <c r="C549">
        <v>138.73820000000001</v>
      </c>
      <c r="D549" s="2">
        <v>46055</v>
      </c>
      <c r="I549">
        <v>0</v>
      </c>
      <c r="J549">
        <v>0</v>
      </c>
      <c r="L549">
        <v>56</v>
      </c>
      <c r="Q549" t="s">
        <v>186</v>
      </c>
    </row>
    <row r="550" spans="1:17" x14ac:dyDescent="0.3">
      <c r="A550" t="s">
        <v>314</v>
      </c>
      <c r="B550">
        <v>-35.517899999999997</v>
      </c>
      <c r="C550">
        <v>138.70050000000001</v>
      </c>
      <c r="D550" s="2">
        <v>46055</v>
      </c>
      <c r="I550">
        <v>111</v>
      </c>
      <c r="J550">
        <v>0</v>
      </c>
      <c r="L550">
        <v>500</v>
      </c>
      <c r="Q550" t="s">
        <v>186</v>
      </c>
    </row>
    <row r="551" spans="1:17" x14ac:dyDescent="0.3">
      <c r="A551" t="s">
        <v>91</v>
      </c>
      <c r="B551">
        <v>-35.536299999999997</v>
      </c>
      <c r="C551">
        <v>138.67859999999999</v>
      </c>
      <c r="D551" s="2">
        <v>46055</v>
      </c>
      <c r="I551">
        <v>0</v>
      </c>
      <c r="J551">
        <v>0</v>
      </c>
      <c r="L551">
        <v>56</v>
      </c>
      <c r="Q551" t="s">
        <v>186</v>
      </c>
    </row>
    <row r="552" spans="1:17" x14ac:dyDescent="0.3">
      <c r="A552" t="s">
        <v>185</v>
      </c>
      <c r="B552">
        <v>-35.538600000000002</v>
      </c>
      <c r="C552">
        <v>138.6497</v>
      </c>
      <c r="D552" s="2">
        <v>46055</v>
      </c>
      <c r="I552">
        <v>0</v>
      </c>
      <c r="J552">
        <v>0</v>
      </c>
      <c r="L552">
        <v>0</v>
      </c>
      <c r="Q552" t="s">
        <v>186</v>
      </c>
    </row>
    <row r="553" spans="1:17" x14ac:dyDescent="0.3">
      <c r="A553" t="s">
        <v>315</v>
      </c>
      <c r="B553">
        <v>-35.5565</v>
      </c>
      <c r="C553">
        <v>138.62610000000001</v>
      </c>
      <c r="D553" s="2">
        <v>46055</v>
      </c>
      <c r="I553">
        <v>0</v>
      </c>
      <c r="J553">
        <v>0</v>
      </c>
      <c r="L553">
        <v>0</v>
      </c>
      <c r="Q553" t="s">
        <v>186</v>
      </c>
    </row>
    <row r="554" spans="1:17" x14ac:dyDescent="0.3">
      <c r="A554" t="s">
        <v>316</v>
      </c>
      <c r="B554">
        <v>-35.563899999999997</v>
      </c>
      <c r="C554">
        <v>138.6131</v>
      </c>
      <c r="D554" s="2">
        <v>46055</v>
      </c>
      <c r="I554">
        <v>0</v>
      </c>
      <c r="J554">
        <v>0</v>
      </c>
      <c r="L554">
        <v>0</v>
      </c>
      <c r="Q554" t="s">
        <v>186</v>
      </c>
    </row>
    <row r="555" spans="1:17" x14ac:dyDescent="0.3">
      <c r="A555" t="s">
        <v>188</v>
      </c>
      <c r="B555">
        <v>-35.592599999999997</v>
      </c>
      <c r="C555">
        <v>138.59979999999999</v>
      </c>
      <c r="D555" s="2">
        <v>46055</v>
      </c>
      <c r="I555">
        <v>0</v>
      </c>
      <c r="J555">
        <v>0</v>
      </c>
      <c r="L555">
        <v>167</v>
      </c>
      <c r="Q555" t="s">
        <v>186</v>
      </c>
    </row>
    <row r="556" spans="1:17" x14ac:dyDescent="0.3">
      <c r="A556" t="s">
        <v>317</v>
      </c>
      <c r="B556">
        <v>-35.634900000000002</v>
      </c>
      <c r="C556">
        <v>138.49850000000001</v>
      </c>
      <c r="D556" s="2">
        <v>46055</v>
      </c>
      <c r="I556">
        <v>111</v>
      </c>
      <c r="J556">
        <v>56</v>
      </c>
      <c r="L556">
        <v>167</v>
      </c>
      <c r="Q556" t="s">
        <v>186</v>
      </c>
    </row>
    <row r="557" spans="1:17" x14ac:dyDescent="0.3">
      <c r="A557" t="s">
        <v>319</v>
      </c>
      <c r="B557">
        <v>-34.929459999999999</v>
      </c>
      <c r="C557">
        <v>137.34075999999999</v>
      </c>
      <c r="D557" s="2">
        <v>46055</v>
      </c>
      <c r="J557">
        <v>0</v>
      </c>
      <c r="P557">
        <v>0</v>
      </c>
      <c r="Q557" t="s">
        <v>265</v>
      </c>
    </row>
    <row r="558" spans="1:17" x14ac:dyDescent="0.3">
      <c r="A558" t="s">
        <v>320</v>
      </c>
      <c r="B558">
        <v>-34.928570000000001</v>
      </c>
      <c r="C558">
        <v>137.4238</v>
      </c>
      <c r="D558" s="2">
        <v>46055</v>
      </c>
      <c r="J558">
        <v>0</v>
      </c>
      <c r="P558">
        <v>0</v>
      </c>
      <c r="Q558" t="s">
        <v>265</v>
      </c>
    </row>
    <row r="559" spans="1:17" x14ac:dyDescent="0.3">
      <c r="A559" t="s">
        <v>321</v>
      </c>
      <c r="B559">
        <v>-34.901600000000002</v>
      </c>
      <c r="C559">
        <v>137.45066</v>
      </c>
      <c r="D559" s="2">
        <v>46055</v>
      </c>
      <c r="J559">
        <v>0</v>
      </c>
      <c r="P559">
        <v>0</v>
      </c>
      <c r="Q559" t="s">
        <v>265</v>
      </c>
    </row>
    <row r="560" spans="1:17" x14ac:dyDescent="0.3">
      <c r="A560" t="s">
        <v>287</v>
      </c>
      <c r="B560">
        <v>-34.630270000000003</v>
      </c>
      <c r="C560">
        <v>135.86533</v>
      </c>
      <c r="D560" s="2">
        <v>46055</v>
      </c>
      <c r="I560">
        <v>222</v>
      </c>
      <c r="J560">
        <v>0</v>
      </c>
      <c r="L560">
        <v>10889</v>
      </c>
      <c r="M560">
        <v>444</v>
      </c>
      <c r="N560">
        <v>3556</v>
      </c>
      <c r="O560">
        <v>777</v>
      </c>
      <c r="P560">
        <v>15888</v>
      </c>
      <c r="Q560" t="s">
        <v>283</v>
      </c>
    </row>
    <row r="561" spans="1:17" x14ac:dyDescent="0.3">
      <c r="A561" t="s">
        <v>288</v>
      </c>
      <c r="B561">
        <v>-34.629179999999998</v>
      </c>
      <c r="C561">
        <v>135.86635000000001</v>
      </c>
      <c r="D561" s="2">
        <v>46055</v>
      </c>
      <c r="I561">
        <v>556</v>
      </c>
      <c r="J561">
        <v>0</v>
      </c>
      <c r="L561">
        <v>15333</v>
      </c>
      <c r="M561">
        <v>889</v>
      </c>
      <c r="N561">
        <v>5556</v>
      </c>
      <c r="O561">
        <v>1222</v>
      </c>
      <c r="P561">
        <v>23556</v>
      </c>
      <c r="Q561" t="s">
        <v>283</v>
      </c>
    </row>
    <row r="562" spans="1:17" x14ac:dyDescent="0.3">
      <c r="A562" t="s">
        <v>59</v>
      </c>
      <c r="B562">
        <v>-35.084850000000003</v>
      </c>
      <c r="C562">
        <v>137.74889999999999</v>
      </c>
      <c r="D562" s="2">
        <v>46056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N562">
        <v>111</v>
      </c>
      <c r="P562">
        <v>111</v>
      </c>
      <c r="Q562" t="s">
        <v>149</v>
      </c>
    </row>
    <row r="563" spans="1:17" x14ac:dyDescent="0.3">
      <c r="A563" t="s">
        <v>322</v>
      </c>
      <c r="B563">
        <v>-35.32508</v>
      </c>
      <c r="C563">
        <v>136.12333000000001</v>
      </c>
      <c r="D563" s="2">
        <v>46057</v>
      </c>
      <c r="I563">
        <v>28</v>
      </c>
      <c r="J563">
        <v>0</v>
      </c>
      <c r="L563">
        <v>972</v>
      </c>
      <c r="N563">
        <v>111</v>
      </c>
      <c r="O563">
        <v>56</v>
      </c>
      <c r="P563">
        <v>1167</v>
      </c>
      <c r="Q563" t="s">
        <v>283</v>
      </c>
    </row>
    <row r="564" spans="1:17" x14ac:dyDescent="0.3">
      <c r="A564" t="s">
        <v>328</v>
      </c>
      <c r="B564">
        <v>-34.903820000000003</v>
      </c>
      <c r="C564">
        <v>137.04875999999999</v>
      </c>
      <c r="D564" s="2">
        <v>46057</v>
      </c>
      <c r="I564">
        <v>722</v>
      </c>
      <c r="J564">
        <v>722</v>
      </c>
      <c r="P564">
        <v>722</v>
      </c>
      <c r="Q564" t="s">
        <v>265</v>
      </c>
    </row>
    <row r="565" spans="1:17" x14ac:dyDescent="0.3">
      <c r="A565" t="s">
        <v>94</v>
      </c>
      <c r="B565">
        <v>-35.58858</v>
      </c>
      <c r="C565">
        <v>138.60474600000001</v>
      </c>
      <c r="D565" s="2">
        <v>46057</v>
      </c>
      <c r="I565">
        <v>56</v>
      </c>
      <c r="J565">
        <v>0</v>
      </c>
      <c r="O565">
        <v>500</v>
      </c>
      <c r="P565">
        <v>556</v>
      </c>
      <c r="Q565" t="s">
        <v>129</v>
      </c>
    </row>
    <row r="566" spans="1:17" x14ac:dyDescent="0.3">
      <c r="A566" t="s">
        <v>89</v>
      </c>
      <c r="B566">
        <v>-35.6048446</v>
      </c>
      <c r="C566">
        <v>138.59278499999999</v>
      </c>
      <c r="D566" s="2">
        <v>46057</v>
      </c>
      <c r="I566">
        <v>56</v>
      </c>
      <c r="J566">
        <v>0</v>
      </c>
      <c r="L566">
        <v>111</v>
      </c>
      <c r="O566">
        <v>333</v>
      </c>
      <c r="P566">
        <v>500</v>
      </c>
      <c r="Q566" t="s">
        <v>129</v>
      </c>
    </row>
    <row r="567" spans="1:17" x14ac:dyDescent="0.3">
      <c r="A567" t="s">
        <v>37</v>
      </c>
      <c r="B567">
        <v>-34.289369999999998</v>
      </c>
      <c r="C567">
        <v>138.01242999999999</v>
      </c>
      <c r="D567" s="2">
        <v>46058</v>
      </c>
      <c r="G567">
        <v>722</v>
      </c>
      <c r="H567">
        <v>111</v>
      </c>
      <c r="I567">
        <v>1167</v>
      </c>
      <c r="J567">
        <v>0</v>
      </c>
      <c r="K567">
        <v>222</v>
      </c>
      <c r="L567">
        <v>1778</v>
      </c>
      <c r="M567">
        <v>111</v>
      </c>
      <c r="N567">
        <v>167</v>
      </c>
      <c r="O567">
        <v>222</v>
      </c>
      <c r="P567">
        <v>4500</v>
      </c>
      <c r="Q567" t="s">
        <v>76</v>
      </c>
    </row>
    <row r="568" spans="1:17" x14ac:dyDescent="0.3">
      <c r="A568" t="s">
        <v>318</v>
      </c>
      <c r="B568">
        <v>-34.911830000000002</v>
      </c>
      <c r="C568">
        <v>137.16248999999999</v>
      </c>
      <c r="D568" s="2">
        <v>46058</v>
      </c>
      <c r="I568">
        <v>1611</v>
      </c>
      <c r="J568">
        <v>1611</v>
      </c>
      <c r="P568">
        <v>1611</v>
      </c>
      <c r="Q568" t="s">
        <v>265</v>
      </c>
    </row>
    <row r="569" spans="1:17" x14ac:dyDescent="0.3">
      <c r="A569" t="s">
        <v>329</v>
      </c>
      <c r="B569">
        <v>-34.893770000000004</v>
      </c>
      <c r="C569">
        <v>137.27602999999999</v>
      </c>
      <c r="D569" s="2">
        <v>46059</v>
      </c>
      <c r="I569">
        <v>389</v>
      </c>
      <c r="J569">
        <v>389</v>
      </c>
      <c r="P569">
        <v>389</v>
      </c>
      <c r="Q569" t="s">
        <v>265</v>
      </c>
    </row>
    <row r="570" spans="1:17" x14ac:dyDescent="0.3">
      <c r="A570" t="s">
        <v>338</v>
      </c>
      <c r="B570" s="13">
        <f>-35.521088</f>
        <v>-35.521087999999999</v>
      </c>
      <c r="C570" s="13">
        <v>138.18547100000001</v>
      </c>
      <c r="D570" s="2">
        <v>46059</v>
      </c>
      <c r="F570">
        <v>0</v>
      </c>
      <c r="I570">
        <v>222</v>
      </c>
      <c r="J570">
        <v>0</v>
      </c>
      <c r="L570">
        <v>278</v>
      </c>
      <c r="N570" s="14">
        <v>1889</v>
      </c>
      <c r="O570">
        <v>2167</v>
      </c>
      <c r="P570">
        <f>SUM(F570:O570)</f>
        <v>4556</v>
      </c>
      <c r="Q570" t="s">
        <v>251</v>
      </c>
    </row>
    <row r="571" spans="1:17" x14ac:dyDescent="0.3">
      <c r="A571" t="s">
        <v>378</v>
      </c>
      <c r="B571">
        <v>-34.495376</v>
      </c>
      <c r="C571">
        <v>137.481537</v>
      </c>
      <c r="D571" s="2">
        <v>46060</v>
      </c>
      <c r="I571">
        <v>278</v>
      </c>
      <c r="J571">
        <v>0</v>
      </c>
      <c r="L571">
        <v>167</v>
      </c>
      <c r="N571">
        <v>222</v>
      </c>
      <c r="O571">
        <v>222</v>
      </c>
      <c r="P571">
        <v>889</v>
      </c>
      <c r="Q571" t="s">
        <v>218</v>
      </c>
    </row>
    <row r="572" spans="1:17" x14ac:dyDescent="0.3">
      <c r="A572" t="s">
        <v>325</v>
      </c>
      <c r="B572">
        <v>-34.750552999999996</v>
      </c>
      <c r="C572">
        <v>137.477315</v>
      </c>
      <c r="D572" s="2">
        <v>46060</v>
      </c>
      <c r="I572">
        <v>278</v>
      </c>
      <c r="J572">
        <v>0</v>
      </c>
      <c r="L572">
        <v>333</v>
      </c>
      <c r="N572">
        <v>167</v>
      </c>
      <c r="P572">
        <v>778</v>
      </c>
      <c r="Q572" t="s">
        <v>218</v>
      </c>
    </row>
    <row r="573" spans="1:17" x14ac:dyDescent="0.3">
      <c r="A573" t="s">
        <v>326</v>
      </c>
      <c r="B573">
        <v>-34.672504000000004</v>
      </c>
      <c r="C573">
        <v>137.49397999999999</v>
      </c>
      <c r="D573" s="2">
        <v>46060</v>
      </c>
      <c r="I573">
        <v>278</v>
      </c>
      <c r="J573">
        <v>0</v>
      </c>
      <c r="L573">
        <v>111</v>
      </c>
      <c r="N573">
        <v>444</v>
      </c>
      <c r="O573">
        <v>222</v>
      </c>
      <c r="P573">
        <v>1056</v>
      </c>
      <c r="Q573" t="s">
        <v>218</v>
      </c>
    </row>
    <row r="574" spans="1:17" x14ac:dyDescent="0.3">
      <c r="A574" t="s">
        <v>327</v>
      </c>
      <c r="B574">
        <v>-34.588209999999997</v>
      </c>
      <c r="C574">
        <v>137.506224</v>
      </c>
      <c r="D574" s="2">
        <v>46060</v>
      </c>
      <c r="I574">
        <v>111</v>
      </c>
      <c r="J574">
        <v>0</v>
      </c>
      <c r="L574">
        <v>278</v>
      </c>
      <c r="N574">
        <v>111</v>
      </c>
      <c r="P574">
        <v>500</v>
      </c>
      <c r="Q574" t="s">
        <v>218</v>
      </c>
    </row>
    <row r="575" spans="1:17" x14ac:dyDescent="0.3">
      <c r="A575" t="s">
        <v>301</v>
      </c>
      <c r="B575">
        <v>-34.899749999999997</v>
      </c>
      <c r="C575">
        <v>137.45174</v>
      </c>
      <c r="D575" s="2">
        <v>46060</v>
      </c>
      <c r="F575">
        <v>778</v>
      </c>
      <c r="G575">
        <v>167</v>
      </c>
      <c r="I575">
        <v>3778</v>
      </c>
      <c r="J575">
        <v>3000</v>
      </c>
      <c r="O575">
        <v>1111</v>
      </c>
      <c r="P575">
        <v>5834</v>
      </c>
      <c r="Q575" t="s">
        <v>265</v>
      </c>
    </row>
    <row r="576" spans="1:17" x14ac:dyDescent="0.3">
      <c r="A576" t="s">
        <v>330</v>
      </c>
      <c r="B576">
        <v>-34.812609999999999</v>
      </c>
      <c r="C576">
        <v>137.45670999999999</v>
      </c>
      <c r="D576" s="2">
        <v>46060</v>
      </c>
      <c r="J576">
        <v>0</v>
      </c>
      <c r="P576">
        <v>0</v>
      </c>
      <c r="Q576" t="s">
        <v>265</v>
      </c>
    </row>
    <row r="577" spans="1:17" x14ac:dyDescent="0.3">
      <c r="A577" t="s">
        <v>257</v>
      </c>
      <c r="B577">
        <v>-34.827359999999999</v>
      </c>
      <c r="C577">
        <v>137.45850999999999</v>
      </c>
      <c r="D577" s="2">
        <v>46060</v>
      </c>
      <c r="J577">
        <v>0</v>
      </c>
      <c r="P577">
        <v>0</v>
      </c>
      <c r="Q577" t="s">
        <v>265</v>
      </c>
    </row>
    <row r="578" spans="1:17" x14ac:dyDescent="0.3">
      <c r="A578" t="s">
        <v>262</v>
      </c>
      <c r="B578">
        <v>-34.672490000000003</v>
      </c>
      <c r="C578">
        <v>137.49295000000001</v>
      </c>
      <c r="D578" s="2">
        <v>46060</v>
      </c>
      <c r="J578">
        <v>0</v>
      </c>
      <c r="P578">
        <v>0</v>
      </c>
      <c r="Q578" t="s">
        <v>265</v>
      </c>
    </row>
    <row r="579" spans="1:17" x14ac:dyDescent="0.3">
      <c r="A579" t="s">
        <v>257</v>
      </c>
      <c r="B579">
        <v>-34.827359999999999</v>
      </c>
      <c r="C579">
        <v>137.45850999999999</v>
      </c>
      <c r="D579" s="2">
        <v>46060</v>
      </c>
      <c r="F579">
        <v>0</v>
      </c>
      <c r="G579">
        <v>0</v>
      </c>
      <c r="H579">
        <v>0</v>
      </c>
      <c r="I579">
        <v>166</v>
      </c>
      <c r="J579">
        <v>0</v>
      </c>
      <c r="K579">
        <v>0</v>
      </c>
      <c r="L579">
        <v>111</v>
      </c>
      <c r="N579">
        <v>111</v>
      </c>
      <c r="P579">
        <v>388</v>
      </c>
      <c r="Q579" t="s">
        <v>149</v>
      </c>
    </row>
    <row r="580" spans="1:17" x14ac:dyDescent="0.3">
      <c r="A580" t="s">
        <v>333</v>
      </c>
      <c r="B580">
        <v>-34.912934499999999</v>
      </c>
      <c r="C580">
        <v>137.01358930000001</v>
      </c>
      <c r="D580" s="2">
        <v>46060</v>
      </c>
      <c r="I580">
        <v>3222</v>
      </c>
      <c r="J580">
        <v>1111</v>
      </c>
      <c r="L580">
        <v>1222</v>
      </c>
      <c r="M580">
        <v>667</v>
      </c>
      <c r="N580">
        <v>1111</v>
      </c>
      <c r="P580">
        <v>6222</v>
      </c>
      <c r="Q580" t="s">
        <v>254</v>
      </c>
    </row>
    <row r="581" spans="1:17" x14ac:dyDescent="0.3">
      <c r="A581" t="s">
        <v>262</v>
      </c>
      <c r="B581">
        <v>-34.672490000000003</v>
      </c>
      <c r="C581">
        <v>137.49295000000001</v>
      </c>
      <c r="D581" s="2">
        <v>46061</v>
      </c>
      <c r="J581">
        <v>0</v>
      </c>
      <c r="P581">
        <v>0</v>
      </c>
      <c r="Q581" t="s">
        <v>265</v>
      </c>
    </row>
    <row r="582" spans="1:17" x14ac:dyDescent="0.3">
      <c r="A582" t="s">
        <v>212</v>
      </c>
      <c r="B582">
        <v>-34.751460000000002</v>
      </c>
      <c r="C582">
        <v>137.47702000000001</v>
      </c>
      <c r="D582" s="2">
        <v>46061</v>
      </c>
      <c r="J582">
        <v>0</v>
      </c>
      <c r="P582">
        <v>0</v>
      </c>
      <c r="Q582" t="s">
        <v>265</v>
      </c>
    </row>
    <row r="583" spans="1:17" x14ac:dyDescent="0.3">
      <c r="A583" t="s">
        <v>331</v>
      </c>
      <c r="B583">
        <v>-34.831850000000003</v>
      </c>
      <c r="C583">
        <v>137.45840999999999</v>
      </c>
      <c r="D583" s="2">
        <v>46061</v>
      </c>
      <c r="I583">
        <v>56</v>
      </c>
      <c r="J583">
        <v>56</v>
      </c>
      <c r="P583">
        <v>56</v>
      </c>
      <c r="Q583" t="s">
        <v>265</v>
      </c>
    </row>
    <row r="584" spans="1:17" x14ac:dyDescent="0.3">
      <c r="A584" t="s">
        <v>301</v>
      </c>
      <c r="B584">
        <v>-34.899749999999997</v>
      </c>
      <c r="C584">
        <v>137.45174</v>
      </c>
      <c r="D584" s="2">
        <v>46061</v>
      </c>
      <c r="F584">
        <v>1667</v>
      </c>
      <c r="G584">
        <v>111</v>
      </c>
      <c r="I584">
        <v>4944</v>
      </c>
      <c r="J584">
        <v>4333</v>
      </c>
      <c r="O584">
        <v>167</v>
      </c>
      <c r="P584">
        <v>6889</v>
      </c>
      <c r="Q584" t="s">
        <v>265</v>
      </c>
    </row>
    <row r="585" spans="1:17" x14ac:dyDescent="0.3">
      <c r="A585" t="s">
        <v>324</v>
      </c>
      <c r="B585">
        <v>-34.920539599999998</v>
      </c>
      <c r="C585">
        <v>137.01218679999999</v>
      </c>
      <c r="D585" s="2">
        <v>46061</v>
      </c>
      <c r="F585">
        <v>0</v>
      </c>
      <c r="G585">
        <v>0</v>
      </c>
      <c r="H585">
        <v>0</v>
      </c>
      <c r="I585">
        <v>444</v>
      </c>
      <c r="J585">
        <v>278</v>
      </c>
      <c r="K585">
        <v>0</v>
      </c>
      <c r="L585">
        <v>500</v>
      </c>
      <c r="M585">
        <v>0</v>
      </c>
      <c r="N585">
        <v>389</v>
      </c>
      <c r="O585">
        <v>111</v>
      </c>
      <c r="P585">
        <v>1444</v>
      </c>
      <c r="Q585" t="s">
        <v>254</v>
      </c>
    </row>
    <row r="586" spans="1:17" x14ac:dyDescent="0.3">
      <c r="A586" t="s">
        <v>332</v>
      </c>
      <c r="B586">
        <v>-34.933680000000003</v>
      </c>
      <c r="C586">
        <v>137.35247000000001</v>
      </c>
      <c r="D586" s="2">
        <v>46061</v>
      </c>
      <c r="I586">
        <v>6667</v>
      </c>
      <c r="J586">
        <v>2667</v>
      </c>
      <c r="L586">
        <v>1222</v>
      </c>
      <c r="N586">
        <v>1556</v>
      </c>
      <c r="O586">
        <v>889</v>
      </c>
      <c r="P586">
        <v>10334</v>
      </c>
      <c r="Q586" t="s">
        <v>254</v>
      </c>
    </row>
    <row r="587" spans="1:17" x14ac:dyDescent="0.3">
      <c r="A587" t="s">
        <v>266</v>
      </c>
      <c r="B587">
        <v>-34.804662999999998</v>
      </c>
      <c r="C587">
        <v>138.540223</v>
      </c>
      <c r="D587" s="2">
        <v>46061</v>
      </c>
      <c r="E587" s="20">
        <v>0.72222222222222221</v>
      </c>
      <c r="F587">
        <v>0</v>
      </c>
      <c r="G587">
        <v>0</v>
      </c>
      <c r="H587">
        <v>0</v>
      </c>
      <c r="I587">
        <v>1.2749999999999999</v>
      </c>
      <c r="J587">
        <v>0</v>
      </c>
      <c r="K587">
        <v>0</v>
      </c>
      <c r="L587">
        <v>13.574999999999999</v>
      </c>
      <c r="M587">
        <v>0</v>
      </c>
      <c r="N587">
        <v>7.4999999999999997E-2</v>
      </c>
      <c r="O587">
        <v>0</v>
      </c>
      <c r="P587">
        <v>14.925000000000001</v>
      </c>
      <c r="Q587" t="s">
        <v>78</v>
      </c>
    </row>
    <row r="588" spans="1:17" x14ac:dyDescent="0.3">
      <c r="A588" t="s">
        <v>267</v>
      </c>
      <c r="B588">
        <v>-34.824044999999998</v>
      </c>
      <c r="C588">
        <v>138.48377600000001</v>
      </c>
      <c r="D588" s="2">
        <v>46061</v>
      </c>
      <c r="E588" s="20">
        <v>0.70833333333333337</v>
      </c>
      <c r="F588">
        <v>0</v>
      </c>
      <c r="G588">
        <v>9</v>
      </c>
      <c r="H588">
        <v>0</v>
      </c>
      <c r="I588">
        <v>0.9</v>
      </c>
      <c r="J588">
        <v>0</v>
      </c>
      <c r="K588">
        <v>0</v>
      </c>
      <c r="L588">
        <v>7.6</v>
      </c>
      <c r="M588">
        <v>0.5</v>
      </c>
      <c r="N588">
        <v>0.3</v>
      </c>
      <c r="O588">
        <v>1.9</v>
      </c>
      <c r="P588">
        <v>20.2</v>
      </c>
      <c r="Q588" t="s">
        <v>78</v>
      </c>
    </row>
    <row r="589" spans="1:17" x14ac:dyDescent="0.3">
      <c r="A589" t="s">
        <v>85</v>
      </c>
      <c r="B589">
        <v>-34.873964000000001</v>
      </c>
      <c r="C589">
        <v>138.488134</v>
      </c>
      <c r="D589" s="2">
        <v>46061</v>
      </c>
      <c r="E589" s="20">
        <v>0.70138888888888884</v>
      </c>
      <c r="F589">
        <v>0</v>
      </c>
      <c r="G589">
        <v>0.15</v>
      </c>
      <c r="H589">
        <v>0</v>
      </c>
      <c r="I589">
        <v>39.825000000000003</v>
      </c>
      <c r="J589">
        <v>5.4</v>
      </c>
      <c r="K589">
        <v>0</v>
      </c>
      <c r="L589">
        <v>2.1</v>
      </c>
      <c r="M589">
        <v>0.15</v>
      </c>
      <c r="N589">
        <v>0</v>
      </c>
      <c r="O589">
        <v>0.9</v>
      </c>
      <c r="P589">
        <v>43.125</v>
      </c>
      <c r="Q589" t="s">
        <v>78</v>
      </c>
    </row>
    <row r="590" spans="1:17" x14ac:dyDescent="0.3">
      <c r="A590" t="s">
        <v>242</v>
      </c>
      <c r="B590">
        <v>-34.860666999999999</v>
      </c>
      <c r="C590">
        <v>138.490938</v>
      </c>
      <c r="D590" s="2">
        <v>46061</v>
      </c>
      <c r="E590" s="20">
        <v>0.69444444444444442</v>
      </c>
      <c r="F590">
        <v>0</v>
      </c>
      <c r="G590">
        <v>1.2749999999999999</v>
      </c>
      <c r="H590">
        <v>0</v>
      </c>
      <c r="I590">
        <v>16.95</v>
      </c>
      <c r="J590">
        <v>7.4999999999999997E-2</v>
      </c>
      <c r="K590">
        <v>0</v>
      </c>
      <c r="L590">
        <v>31.425000000000001</v>
      </c>
      <c r="M590">
        <v>7.4999999999999997E-2</v>
      </c>
      <c r="N590">
        <v>0.15</v>
      </c>
      <c r="O590">
        <v>0.67500000000000004</v>
      </c>
      <c r="P590">
        <v>50.55</v>
      </c>
      <c r="Q590" t="s">
        <v>78</v>
      </c>
    </row>
    <row r="591" spans="1:17" x14ac:dyDescent="0.3">
      <c r="A591" t="s">
        <v>94</v>
      </c>
      <c r="B591">
        <v>-35.58858</v>
      </c>
      <c r="C591">
        <v>138.60474600000001</v>
      </c>
      <c r="D591" s="2">
        <v>46061</v>
      </c>
      <c r="I591">
        <v>111</v>
      </c>
      <c r="J591">
        <v>0</v>
      </c>
      <c r="L591">
        <v>111</v>
      </c>
      <c r="N591">
        <v>333</v>
      </c>
      <c r="O591">
        <v>56</v>
      </c>
      <c r="P591">
        <v>611</v>
      </c>
      <c r="Q591" t="s">
        <v>129</v>
      </c>
    </row>
    <row r="592" spans="1:17" x14ac:dyDescent="0.3">
      <c r="A592" t="s">
        <v>89</v>
      </c>
      <c r="B592">
        <v>-35.6048446</v>
      </c>
      <c r="C592">
        <v>138.59278499999999</v>
      </c>
      <c r="D592" s="2">
        <v>46061</v>
      </c>
      <c r="J592">
        <v>0</v>
      </c>
      <c r="L592">
        <v>111</v>
      </c>
      <c r="N592">
        <v>167</v>
      </c>
      <c r="O592">
        <v>167</v>
      </c>
      <c r="P592">
        <v>445</v>
      </c>
      <c r="Q592" t="s">
        <v>129</v>
      </c>
    </row>
    <row r="593" spans="1:17" x14ac:dyDescent="0.3">
      <c r="A593" t="s">
        <v>289</v>
      </c>
      <c r="B593">
        <v>-34.628860000000003</v>
      </c>
      <c r="C593">
        <v>135.86708999999999</v>
      </c>
      <c r="D593" s="2">
        <v>46062</v>
      </c>
      <c r="I593">
        <v>0</v>
      </c>
      <c r="J593">
        <v>0</v>
      </c>
      <c r="L593">
        <v>278</v>
      </c>
      <c r="M593">
        <v>56</v>
      </c>
      <c r="N593">
        <v>667</v>
      </c>
      <c r="O593">
        <v>278</v>
      </c>
      <c r="P593">
        <v>1279</v>
      </c>
      <c r="Q593" t="s">
        <v>283</v>
      </c>
    </row>
    <row r="594" spans="1:17" x14ac:dyDescent="0.3">
      <c r="A594" t="s">
        <v>334</v>
      </c>
      <c r="B594">
        <v>-34.519669999999998</v>
      </c>
      <c r="C594">
        <v>136.27539999999999</v>
      </c>
      <c r="D594" s="2">
        <v>46062</v>
      </c>
      <c r="I594">
        <v>1</v>
      </c>
      <c r="J594">
        <v>0</v>
      </c>
      <c r="L594">
        <v>0</v>
      </c>
      <c r="M594">
        <v>56</v>
      </c>
      <c r="N594">
        <v>333</v>
      </c>
      <c r="O594">
        <v>56</v>
      </c>
      <c r="P594">
        <v>446</v>
      </c>
      <c r="Q594" t="s">
        <v>283</v>
      </c>
    </row>
    <row r="595" spans="1:17" x14ac:dyDescent="0.3">
      <c r="A595" t="s">
        <v>335</v>
      </c>
      <c r="B595">
        <v>-34.535609999999998</v>
      </c>
      <c r="C595">
        <v>136.27878000000001</v>
      </c>
      <c r="D595" s="2">
        <v>46062</v>
      </c>
      <c r="I595">
        <v>0</v>
      </c>
      <c r="J595">
        <v>0</v>
      </c>
      <c r="N595">
        <v>222</v>
      </c>
      <c r="P595">
        <v>222</v>
      </c>
      <c r="Q595" t="s">
        <v>283</v>
      </c>
    </row>
    <row r="596" spans="1:17" x14ac:dyDescent="0.3">
      <c r="A596" t="s">
        <v>257</v>
      </c>
      <c r="B596">
        <v>-34.827359999999999</v>
      </c>
      <c r="C596">
        <v>137.45850999999999</v>
      </c>
      <c r="D596" s="2">
        <v>46062</v>
      </c>
      <c r="E596" s="20">
        <v>0.67708333333333337</v>
      </c>
      <c r="I596">
        <v>3389</v>
      </c>
      <c r="J596">
        <v>1389</v>
      </c>
      <c r="L596">
        <v>4333</v>
      </c>
      <c r="N596">
        <v>5000</v>
      </c>
      <c r="O596">
        <v>1167</v>
      </c>
      <c r="P596">
        <v>13889</v>
      </c>
      <c r="Q596" t="s">
        <v>218</v>
      </c>
    </row>
    <row r="597" spans="1:17" x14ac:dyDescent="0.3">
      <c r="A597" t="s">
        <v>262</v>
      </c>
      <c r="B597">
        <v>-34.672490000000003</v>
      </c>
      <c r="C597">
        <v>137.49295000000001</v>
      </c>
      <c r="D597" s="2">
        <v>46062</v>
      </c>
      <c r="H597">
        <v>167</v>
      </c>
      <c r="I597">
        <v>1111</v>
      </c>
      <c r="J597">
        <v>333</v>
      </c>
      <c r="L597">
        <v>222</v>
      </c>
      <c r="N597">
        <v>611</v>
      </c>
      <c r="P597">
        <v>2111</v>
      </c>
      <c r="Q597" t="s">
        <v>218</v>
      </c>
    </row>
    <row r="598" spans="1:17" x14ac:dyDescent="0.3">
      <c r="A598" t="s">
        <v>337</v>
      </c>
      <c r="B598">
        <v>-34.890371899999998</v>
      </c>
      <c r="C598">
        <v>137.45360099999999</v>
      </c>
      <c r="D598" s="2">
        <v>46062</v>
      </c>
      <c r="I598">
        <v>11000</v>
      </c>
      <c r="J598">
        <v>5444</v>
      </c>
      <c r="L598">
        <v>1222</v>
      </c>
      <c r="M598">
        <v>444</v>
      </c>
      <c r="N598">
        <v>1333</v>
      </c>
      <c r="O598">
        <v>444</v>
      </c>
      <c r="P598">
        <v>14444</v>
      </c>
      <c r="Q598" t="s">
        <v>254</v>
      </c>
    </row>
    <row r="599" spans="1:17" x14ac:dyDescent="0.3">
      <c r="A599" t="s">
        <v>339</v>
      </c>
      <c r="B599">
        <v>-35.500242</v>
      </c>
      <c r="C599">
        <v>138.24491</v>
      </c>
      <c r="D599" s="2">
        <v>46062</v>
      </c>
      <c r="F599">
        <v>0</v>
      </c>
      <c r="I599">
        <v>111</v>
      </c>
      <c r="J599">
        <v>0</v>
      </c>
      <c r="L599">
        <v>56</v>
      </c>
      <c r="N599" s="14">
        <v>444</v>
      </c>
      <c r="O599">
        <v>0</v>
      </c>
      <c r="P599">
        <f>SUM(F599:O599)</f>
        <v>611</v>
      </c>
      <c r="Q599" t="s">
        <v>251</v>
      </c>
    </row>
    <row r="600" spans="1:17" x14ac:dyDescent="0.3">
      <c r="A600" t="s">
        <v>262</v>
      </c>
      <c r="B600">
        <v>-34.672490000000003</v>
      </c>
      <c r="C600">
        <v>137.49295000000001</v>
      </c>
      <c r="D600" s="2">
        <v>46063</v>
      </c>
      <c r="J600">
        <v>556</v>
      </c>
      <c r="Q600" t="s">
        <v>265</v>
      </c>
    </row>
    <row r="601" spans="1:17" x14ac:dyDescent="0.3">
      <c r="A601" t="s">
        <v>212</v>
      </c>
      <c r="B601">
        <v>-34.751460000000002</v>
      </c>
      <c r="C601">
        <v>137.47702000000001</v>
      </c>
      <c r="D601" s="2">
        <v>46063</v>
      </c>
      <c r="J601">
        <v>0</v>
      </c>
      <c r="Q601" t="s">
        <v>265</v>
      </c>
    </row>
    <row r="602" spans="1:17" x14ac:dyDescent="0.3">
      <c r="A602" t="s">
        <v>340</v>
      </c>
      <c r="B602">
        <v>-34.670960000000001</v>
      </c>
      <c r="C602">
        <v>137.49216000000001</v>
      </c>
      <c r="D602" s="2">
        <v>46063</v>
      </c>
      <c r="J602">
        <v>1167</v>
      </c>
      <c r="Q602" t="s">
        <v>265</v>
      </c>
    </row>
    <row r="603" spans="1:17" x14ac:dyDescent="0.3">
      <c r="A603" t="s">
        <v>341</v>
      </c>
      <c r="B603">
        <v>-34.643329999999999</v>
      </c>
      <c r="C603">
        <v>137.48678000000001</v>
      </c>
      <c r="D603" s="2">
        <v>46063</v>
      </c>
      <c r="J603">
        <v>1333</v>
      </c>
      <c r="Q603" t="s">
        <v>265</v>
      </c>
    </row>
    <row r="604" spans="1:17" x14ac:dyDescent="0.3">
      <c r="A604" t="s">
        <v>352</v>
      </c>
      <c r="B604">
        <v>-34.586370000000002</v>
      </c>
      <c r="C604">
        <v>137.50527</v>
      </c>
      <c r="D604" s="2">
        <v>46063</v>
      </c>
      <c r="J604">
        <v>0</v>
      </c>
      <c r="Q604" t="s">
        <v>265</v>
      </c>
    </row>
    <row r="605" spans="1:17" x14ac:dyDescent="0.3">
      <c r="A605" t="s">
        <v>336</v>
      </c>
      <c r="B605">
        <v>-34.9094768</v>
      </c>
      <c r="C605">
        <v>137.44470480000001</v>
      </c>
      <c r="D605" s="2">
        <v>46063</v>
      </c>
      <c r="F605">
        <v>0</v>
      </c>
      <c r="G605">
        <v>0</v>
      </c>
      <c r="H605">
        <v>0</v>
      </c>
      <c r="I605">
        <v>5333</v>
      </c>
      <c r="J605">
        <v>4111</v>
      </c>
      <c r="K605">
        <v>0</v>
      </c>
      <c r="L605">
        <v>1556</v>
      </c>
      <c r="M605">
        <v>0</v>
      </c>
      <c r="N605">
        <v>1111</v>
      </c>
      <c r="O605">
        <v>222</v>
      </c>
      <c r="P605">
        <v>8222</v>
      </c>
      <c r="Q605" t="s">
        <v>254</v>
      </c>
    </row>
    <row r="606" spans="1:17" x14ac:dyDescent="0.3">
      <c r="A606" t="s">
        <v>59</v>
      </c>
      <c r="B606">
        <v>-35.084850000000003</v>
      </c>
      <c r="C606">
        <v>137.74889999999999</v>
      </c>
      <c r="D606" s="2">
        <v>46063</v>
      </c>
      <c r="F606">
        <v>0</v>
      </c>
      <c r="G606">
        <v>0</v>
      </c>
      <c r="H606">
        <v>0</v>
      </c>
      <c r="I606">
        <v>222</v>
      </c>
      <c r="J606">
        <v>0</v>
      </c>
      <c r="K606">
        <v>0</v>
      </c>
      <c r="L606">
        <v>0</v>
      </c>
      <c r="N606">
        <v>1000</v>
      </c>
      <c r="P606">
        <v>1222</v>
      </c>
      <c r="Q606" t="s">
        <v>149</v>
      </c>
    </row>
    <row r="607" spans="1:17" x14ac:dyDescent="0.3">
      <c r="A607" t="s">
        <v>301</v>
      </c>
      <c r="B607">
        <v>-34.899749999999997</v>
      </c>
      <c r="C607">
        <v>137.45174</v>
      </c>
      <c r="D607" s="2">
        <v>46064</v>
      </c>
      <c r="E607" s="20">
        <v>0.60416666666666663</v>
      </c>
      <c r="J607">
        <v>1778</v>
      </c>
      <c r="Q607" t="s">
        <v>265</v>
      </c>
    </row>
    <row r="608" spans="1:17" x14ac:dyDescent="0.3">
      <c r="A608" t="s">
        <v>212</v>
      </c>
      <c r="B608">
        <v>-34.751460000000002</v>
      </c>
      <c r="C608">
        <v>137.47702000000001</v>
      </c>
      <c r="D608" s="2">
        <v>46064</v>
      </c>
      <c r="E608" s="20">
        <v>0.66666666666666663</v>
      </c>
      <c r="J608">
        <v>2833</v>
      </c>
      <c r="Q608" t="s">
        <v>265</v>
      </c>
    </row>
    <row r="609" spans="1:17" x14ac:dyDescent="0.3">
      <c r="A609" t="s">
        <v>353</v>
      </c>
      <c r="B609">
        <v>-34.672490000000003</v>
      </c>
      <c r="C609">
        <v>137.49295000000001</v>
      </c>
      <c r="D609" s="2">
        <v>46064</v>
      </c>
      <c r="E609" s="20">
        <v>0.60416666666666663</v>
      </c>
      <c r="J609">
        <v>500</v>
      </c>
      <c r="Q609" t="s">
        <v>265</v>
      </c>
    </row>
    <row r="610" spans="1:17" x14ac:dyDescent="0.3">
      <c r="A610" t="s">
        <v>352</v>
      </c>
      <c r="B610">
        <v>-34.586370000000002</v>
      </c>
      <c r="C610">
        <v>137.50527</v>
      </c>
      <c r="D610" s="2">
        <v>46064</v>
      </c>
      <c r="E610" s="20">
        <v>0.51041666666666663</v>
      </c>
      <c r="J610">
        <v>0</v>
      </c>
      <c r="Q610" t="s">
        <v>265</v>
      </c>
    </row>
    <row r="611" spans="1:17" x14ac:dyDescent="0.3">
      <c r="A611" t="s">
        <v>354</v>
      </c>
      <c r="B611">
        <v>-34.507260000000002</v>
      </c>
      <c r="C611">
        <v>137.47505000000001</v>
      </c>
      <c r="D611" s="2">
        <v>46064</v>
      </c>
      <c r="E611" s="20">
        <v>0.4375</v>
      </c>
      <c r="J611">
        <v>0</v>
      </c>
      <c r="Q611" t="s">
        <v>265</v>
      </c>
    </row>
    <row r="612" spans="1:17" x14ac:dyDescent="0.3">
      <c r="A612" t="s">
        <v>257</v>
      </c>
      <c r="B612">
        <v>-34.827359999999999</v>
      </c>
      <c r="C612">
        <v>137.45850999999999</v>
      </c>
      <c r="D612" s="2">
        <v>46065</v>
      </c>
      <c r="E612" s="20">
        <v>0.64583333333333337</v>
      </c>
      <c r="J612">
        <v>2000</v>
      </c>
      <c r="Q612" t="s">
        <v>265</v>
      </c>
    </row>
    <row r="613" spans="1:17" x14ac:dyDescent="0.3">
      <c r="A613" t="s">
        <v>301</v>
      </c>
      <c r="B613">
        <v>-34.899749999999997</v>
      </c>
      <c r="C613">
        <v>137.45174</v>
      </c>
      <c r="D613" s="2">
        <v>46065</v>
      </c>
      <c r="E613" s="20">
        <v>0.6875</v>
      </c>
      <c r="J613">
        <v>4278</v>
      </c>
      <c r="Q613" t="s">
        <v>265</v>
      </c>
    </row>
    <row r="614" spans="1:17" x14ac:dyDescent="0.3">
      <c r="A614" t="s">
        <v>318</v>
      </c>
      <c r="B614">
        <v>-34.911830000000002</v>
      </c>
      <c r="C614">
        <v>137.16248999999999</v>
      </c>
      <c r="D614" s="2">
        <v>46065</v>
      </c>
      <c r="E614" s="20">
        <v>0.70833333333333337</v>
      </c>
      <c r="J614">
        <v>0</v>
      </c>
      <c r="Q614" t="s">
        <v>265</v>
      </c>
    </row>
    <row r="615" spans="1:17" x14ac:dyDescent="0.3">
      <c r="A615" t="s">
        <v>301</v>
      </c>
      <c r="B615">
        <v>-34.899749999999997</v>
      </c>
      <c r="C615">
        <v>137.45174</v>
      </c>
      <c r="D615" s="2">
        <v>46066</v>
      </c>
      <c r="E615" s="20">
        <v>0.59375</v>
      </c>
      <c r="J615">
        <v>5500</v>
      </c>
      <c r="Q615" t="s">
        <v>265</v>
      </c>
    </row>
    <row r="616" spans="1:17" x14ac:dyDescent="0.3">
      <c r="A616" t="s">
        <v>212</v>
      </c>
      <c r="B616">
        <v>-34.751460000000002</v>
      </c>
      <c r="C616">
        <v>137.47702000000001</v>
      </c>
      <c r="D616" s="2">
        <v>46066</v>
      </c>
      <c r="E616" s="20">
        <v>0.65277777777777779</v>
      </c>
      <c r="J616">
        <v>222</v>
      </c>
      <c r="Q616" t="s">
        <v>265</v>
      </c>
    </row>
    <row r="617" spans="1:17" x14ac:dyDescent="0.3">
      <c r="A617" t="s">
        <v>353</v>
      </c>
      <c r="B617">
        <v>-34.672490000000003</v>
      </c>
      <c r="C617">
        <v>137.49295000000001</v>
      </c>
      <c r="D617" s="2">
        <v>46066</v>
      </c>
      <c r="E617" s="20">
        <v>0.58333333333333337</v>
      </c>
      <c r="J617">
        <v>0</v>
      </c>
      <c r="Q617" t="s">
        <v>265</v>
      </c>
    </row>
    <row r="618" spans="1:17" x14ac:dyDescent="0.3">
      <c r="A618" t="s">
        <v>363</v>
      </c>
      <c r="B618">
        <v>-35.642456000000003</v>
      </c>
      <c r="C618">
        <v>137.63560100000001</v>
      </c>
      <c r="D618" s="2">
        <v>46066</v>
      </c>
      <c r="E618" s="20">
        <v>0.46527777777777779</v>
      </c>
      <c r="I618">
        <v>9667</v>
      </c>
      <c r="J618">
        <v>0</v>
      </c>
      <c r="L618">
        <v>18222</v>
      </c>
      <c r="N618">
        <v>1333</v>
      </c>
      <c r="O618">
        <v>5556</v>
      </c>
      <c r="P618">
        <v>34778</v>
      </c>
      <c r="Q618" t="s">
        <v>129</v>
      </c>
    </row>
    <row r="619" spans="1:17" x14ac:dyDescent="0.3">
      <c r="A619" t="s">
        <v>267</v>
      </c>
      <c r="B619">
        <v>-34.824044999999998</v>
      </c>
      <c r="C619">
        <v>138.48377600000001</v>
      </c>
      <c r="D619" s="2">
        <v>46067</v>
      </c>
      <c r="E619" s="20">
        <v>0.39583333333333331</v>
      </c>
      <c r="G619">
        <v>0.45</v>
      </c>
      <c r="I619">
        <v>17.399999999999999</v>
      </c>
      <c r="J619">
        <v>0</v>
      </c>
      <c r="L619">
        <v>5.3</v>
      </c>
      <c r="M619">
        <v>0.05</v>
      </c>
      <c r="N619">
        <v>0.05</v>
      </c>
      <c r="O619">
        <v>0.05</v>
      </c>
      <c r="P619">
        <f>SUM(F619:I619,K619:O619)</f>
        <v>23.3</v>
      </c>
      <c r="Q619" t="s">
        <v>78</v>
      </c>
    </row>
    <row r="620" spans="1:17" x14ac:dyDescent="0.3">
      <c r="A620" t="s">
        <v>85</v>
      </c>
      <c r="B620">
        <v>-34.873964000000001</v>
      </c>
      <c r="C620">
        <v>138.488134</v>
      </c>
      <c r="D620" s="2">
        <v>46067</v>
      </c>
      <c r="E620" s="20">
        <v>0.42708333333333331</v>
      </c>
      <c r="G620">
        <v>0.22500000000000001</v>
      </c>
      <c r="I620">
        <v>3.5249999999999999</v>
      </c>
      <c r="J620">
        <v>0</v>
      </c>
      <c r="L620">
        <v>28.5</v>
      </c>
      <c r="N620">
        <v>0.3</v>
      </c>
      <c r="O620">
        <v>0.375</v>
      </c>
      <c r="P620">
        <f>SUM(F620:I620,K620:O620)</f>
        <v>32.924999999999997</v>
      </c>
      <c r="Q620" t="s">
        <v>78</v>
      </c>
    </row>
    <row r="621" spans="1:17" x14ac:dyDescent="0.3">
      <c r="A621" t="s">
        <v>349</v>
      </c>
      <c r="B621">
        <v>-34.860666999999999</v>
      </c>
      <c r="C621">
        <v>138.490938</v>
      </c>
      <c r="D621" s="2">
        <v>46067</v>
      </c>
      <c r="E621" s="20">
        <v>0.4236111111111111</v>
      </c>
      <c r="I621">
        <v>3</v>
      </c>
      <c r="J621">
        <v>0.15</v>
      </c>
      <c r="L621">
        <v>117.6</v>
      </c>
      <c r="P621">
        <f>SUM(F621:I621,K621:O621)</f>
        <v>120.6</v>
      </c>
      <c r="Q621" t="s">
        <v>78</v>
      </c>
    </row>
    <row r="622" spans="1:17" x14ac:dyDescent="0.3">
      <c r="A622" t="s">
        <v>79</v>
      </c>
      <c r="B622">
        <v>-34.804662999999998</v>
      </c>
      <c r="C622">
        <v>138.540223</v>
      </c>
      <c r="D622" s="2">
        <v>46067</v>
      </c>
      <c r="E622" s="20">
        <v>0.38541666666666669</v>
      </c>
      <c r="G622">
        <v>0.15</v>
      </c>
      <c r="I622">
        <v>1.2</v>
      </c>
      <c r="J622">
        <v>0</v>
      </c>
      <c r="L622">
        <v>79.125</v>
      </c>
      <c r="N622">
        <v>0.45</v>
      </c>
      <c r="P622">
        <f>SUM(F622:I622,K622:O622)</f>
        <v>80.924999999999997</v>
      </c>
      <c r="Q622" t="s">
        <v>78</v>
      </c>
    </row>
    <row r="623" spans="1:17" x14ac:dyDescent="0.3">
      <c r="A623" t="s">
        <v>301</v>
      </c>
      <c r="B623">
        <v>-34.899749999999997</v>
      </c>
      <c r="C623">
        <v>137.45174</v>
      </c>
      <c r="D623" s="2">
        <v>46067</v>
      </c>
      <c r="E623" s="20">
        <v>0.53125</v>
      </c>
      <c r="J623">
        <v>3889</v>
      </c>
      <c r="Q623" t="s">
        <v>265</v>
      </c>
    </row>
    <row r="624" spans="1:17" x14ac:dyDescent="0.3">
      <c r="A624" t="s">
        <v>301</v>
      </c>
      <c r="B624">
        <v>-34.899749999999997</v>
      </c>
      <c r="C624">
        <v>137.45174</v>
      </c>
      <c r="D624" s="2">
        <v>46068</v>
      </c>
      <c r="E624" s="20">
        <v>0.59722222222222221</v>
      </c>
      <c r="J624">
        <v>4278</v>
      </c>
      <c r="Q624" t="s">
        <v>265</v>
      </c>
    </row>
    <row r="625" spans="1:17" x14ac:dyDescent="0.3">
      <c r="A625" t="s">
        <v>353</v>
      </c>
      <c r="B625">
        <v>-34.672490000000003</v>
      </c>
      <c r="C625">
        <v>137.49295000000001</v>
      </c>
      <c r="D625" s="2">
        <v>46068</v>
      </c>
      <c r="E625" s="20">
        <v>0.48958333333333331</v>
      </c>
      <c r="J625">
        <v>333</v>
      </c>
      <c r="Q625" t="s">
        <v>265</v>
      </c>
    </row>
    <row r="626" spans="1:17" x14ac:dyDescent="0.3">
      <c r="A626" t="s">
        <v>355</v>
      </c>
      <c r="B626">
        <v>-34.66301</v>
      </c>
      <c r="C626">
        <v>137.49252999999999</v>
      </c>
      <c r="D626" s="2">
        <v>46068</v>
      </c>
      <c r="E626" s="20">
        <v>0.47916666666666669</v>
      </c>
      <c r="J626">
        <v>7222</v>
      </c>
      <c r="Q626" t="s">
        <v>265</v>
      </c>
    </row>
    <row r="627" spans="1:17" x14ac:dyDescent="0.3">
      <c r="A627" t="s">
        <v>352</v>
      </c>
      <c r="B627">
        <v>-34.586370000000002</v>
      </c>
      <c r="C627">
        <v>137.50527</v>
      </c>
      <c r="D627" s="2">
        <v>46068</v>
      </c>
      <c r="E627" s="20">
        <v>0.47916666666666669</v>
      </c>
      <c r="J627">
        <v>222</v>
      </c>
      <c r="Q627" t="s">
        <v>265</v>
      </c>
    </row>
    <row r="628" spans="1:17" x14ac:dyDescent="0.3">
      <c r="A628" t="s">
        <v>356</v>
      </c>
      <c r="B628">
        <v>-34.52664</v>
      </c>
      <c r="C628">
        <v>137.48193000000001</v>
      </c>
      <c r="D628" s="2">
        <v>46068</v>
      </c>
      <c r="E628" s="20">
        <v>0.53472222222222221</v>
      </c>
      <c r="J628">
        <v>222</v>
      </c>
      <c r="Q628" t="s">
        <v>265</v>
      </c>
    </row>
    <row r="629" spans="1:17" x14ac:dyDescent="0.3">
      <c r="A629" t="s">
        <v>357</v>
      </c>
      <c r="B629">
        <v>-34.494970000000002</v>
      </c>
      <c r="C629">
        <v>137.48038</v>
      </c>
      <c r="D629" s="2">
        <v>46068</v>
      </c>
      <c r="E629" s="20">
        <v>0.52083333333333337</v>
      </c>
      <c r="J629">
        <v>56</v>
      </c>
      <c r="Q629" t="s">
        <v>265</v>
      </c>
    </row>
    <row r="630" spans="1:17" x14ac:dyDescent="0.3">
      <c r="A630" t="s">
        <v>94</v>
      </c>
      <c r="B630">
        <v>-35.58858</v>
      </c>
      <c r="C630">
        <v>138.60474600000001</v>
      </c>
      <c r="D630" s="2">
        <v>46068</v>
      </c>
      <c r="G630">
        <v>56</v>
      </c>
      <c r="H630">
        <v>56</v>
      </c>
      <c r="I630">
        <v>56</v>
      </c>
      <c r="J630">
        <v>0</v>
      </c>
      <c r="L630">
        <v>56</v>
      </c>
      <c r="N630">
        <v>333</v>
      </c>
      <c r="O630">
        <v>556</v>
      </c>
      <c r="P630">
        <v>1113</v>
      </c>
      <c r="Q630" t="s">
        <v>129</v>
      </c>
    </row>
    <row r="631" spans="1:17" x14ac:dyDescent="0.3">
      <c r="A631" t="s">
        <v>89</v>
      </c>
      <c r="B631">
        <v>-35.6048446</v>
      </c>
      <c r="C631">
        <v>138.59278499999999</v>
      </c>
      <c r="D631" s="2">
        <v>46068</v>
      </c>
      <c r="H631">
        <v>56</v>
      </c>
      <c r="J631">
        <v>0</v>
      </c>
      <c r="L631">
        <v>444</v>
      </c>
      <c r="N631">
        <v>111</v>
      </c>
      <c r="O631">
        <v>778</v>
      </c>
      <c r="P631">
        <v>1389</v>
      </c>
      <c r="Q631" t="s">
        <v>129</v>
      </c>
    </row>
    <row r="632" spans="1:17" x14ac:dyDescent="0.3">
      <c r="A632" t="s">
        <v>413</v>
      </c>
      <c r="B632">
        <v>-33.043101999999998</v>
      </c>
      <c r="C632">
        <v>137.59395699999999</v>
      </c>
      <c r="D632" s="2">
        <v>46068</v>
      </c>
      <c r="E632" s="20">
        <v>0.64583333333333337</v>
      </c>
      <c r="J632">
        <v>0</v>
      </c>
      <c r="L632">
        <v>1111</v>
      </c>
      <c r="O632">
        <v>1111</v>
      </c>
      <c r="P632">
        <v>2222</v>
      </c>
      <c r="Q632" t="s">
        <v>347</v>
      </c>
    </row>
    <row r="633" spans="1:17" x14ac:dyDescent="0.3">
      <c r="A633" t="s">
        <v>312</v>
      </c>
      <c r="B633">
        <v>-35.445188000000002</v>
      </c>
      <c r="C633">
        <v>138.307266</v>
      </c>
      <c r="D633" s="2">
        <v>46069</v>
      </c>
      <c r="J633">
        <v>0</v>
      </c>
      <c r="L633">
        <v>0</v>
      </c>
      <c r="N633" s="16">
        <v>0</v>
      </c>
      <c r="O633">
        <v>0</v>
      </c>
      <c r="P633">
        <f>SUM(F633:O633)</f>
        <v>0</v>
      </c>
      <c r="Q633" t="s">
        <v>350</v>
      </c>
    </row>
    <row r="634" spans="1:17" x14ac:dyDescent="0.3">
      <c r="A634" t="s">
        <v>358</v>
      </c>
      <c r="B634">
        <v>-34.637633999999998</v>
      </c>
      <c r="C634">
        <v>134.80187000000001</v>
      </c>
      <c r="D634" s="2">
        <v>46069</v>
      </c>
      <c r="I634">
        <v>56</v>
      </c>
      <c r="J634">
        <v>0</v>
      </c>
      <c r="O634">
        <v>56</v>
      </c>
      <c r="P634">
        <v>112</v>
      </c>
      <c r="Q634" t="s">
        <v>283</v>
      </c>
    </row>
    <row r="635" spans="1:17" x14ac:dyDescent="0.3">
      <c r="A635" t="s">
        <v>359</v>
      </c>
      <c r="B635">
        <v>-34.864305100000003</v>
      </c>
      <c r="C635">
        <v>135.77572000000001</v>
      </c>
      <c r="D635" s="2">
        <v>46069</v>
      </c>
      <c r="I635">
        <v>56</v>
      </c>
      <c r="J635">
        <v>0</v>
      </c>
      <c r="L635">
        <v>56</v>
      </c>
      <c r="P635">
        <v>112</v>
      </c>
      <c r="Q635" t="s">
        <v>283</v>
      </c>
    </row>
    <row r="636" spans="1:17" x14ac:dyDescent="0.3">
      <c r="A636" t="s">
        <v>59</v>
      </c>
      <c r="B636">
        <v>-35.084850000000003</v>
      </c>
      <c r="C636">
        <v>137.74889999999999</v>
      </c>
      <c r="D636" s="2">
        <v>46070</v>
      </c>
      <c r="E636" s="20">
        <v>0.54166666666666663</v>
      </c>
      <c r="F636" s="15"/>
      <c r="I636">
        <v>83</v>
      </c>
      <c r="J636">
        <v>0</v>
      </c>
      <c r="L636">
        <v>27</v>
      </c>
      <c r="N636">
        <v>417</v>
      </c>
      <c r="P636">
        <v>527</v>
      </c>
      <c r="Q636" t="s">
        <v>149</v>
      </c>
    </row>
    <row r="637" spans="1:17" x14ac:dyDescent="0.3">
      <c r="A637" t="s">
        <v>351</v>
      </c>
      <c r="B637">
        <v>-35.092981999999999</v>
      </c>
      <c r="C637">
        <v>137.747029</v>
      </c>
      <c r="D637" s="2">
        <v>46070</v>
      </c>
      <c r="I637">
        <v>1981</v>
      </c>
      <c r="J637">
        <v>37</v>
      </c>
      <c r="L637">
        <v>2889</v>
      </c>
      <c r="N637">
        <v>556</v>
      </c>
      <c r="O637">
        <v>56</v>
      </c>
      <c r="P637">
        <v>5482</v>
      </c>
      <c r="Q637" t="s">
        <v>218</v>
      </c>
    </row>
    <row r="638" spans="1:17" x14ac:dyDescent="0.3">
      <c r="A638" t="s">
        <v>353</v>
      </c>
      <c r="B638">
        <v>-34.672490000000003</v>
      </c>
      <c r="C638">
        <v>137.49295000000001</v>
      </c>
      <c r="D638" s="2">
        <v>46070</v>
      </c>
      <c r="E638" s="20">
        <v>0.60416666666666663</v>
      </c>
      <c r="J638">
        <v>833</v>
      </c>
      <c r="Q638" t="s">
        <v>265</v>
      </c>
    </row>
    <row r="639" spans="1:17" x14ac:dyDescent="0.3">
      <c r="A639" t="s">
        <v>301</v>
      </c>
      <c r="B639">
        <v>-34.899749999999997</v>
      </c>
      <c r="C639">
        <v>137.45174</v>
      </c>
      <c r="D639" s="2">
        <v>46070</v>
      </c>
      <c r="E639" s="20">
        <v>0.65277777777777779</v>
      </c>
      <c r="J639">
        <v>2611</v>
      </c>
      <c r="Q639" t="s">
        <v>265</v>
      </c>
    </row>
    <row r="640" spans="1:17" x14ac:dyDescent="0.3">
      <c r="A640" t="s">
        <v>86</v>
      </c>
      <c r="B640">
        <v>-35.540277000000003</v>
      </c>
      <c r="C640">
        <v>138.66416599999999</v>
      </c>
      <c r="D640" s="2">
        <v>46071</v>
      </c>
      <c r="E640" s="20">
        <v>0.3611111111111111</v>
      </c>
      <c r="H640">
        <v>56</v>
      </c>
      <c r="I640">
        <v>111</v>
      </c>
      <c r="J640">
        <v>56</v>
      </c>
      <c r="L640">
        <v>167</v>
      </c>
      <c r="N640">
        <v>1222</v>
      </c>
      <c r="O640">
        <v>1333</v>
      </c>
      <c r="P640">
        <v>2889</v>
      </c>
      <c r="Q640" t="s">
        <v>129</v>
      </c>
    </row>
    <row r="641" spans="1:17" x14ac:dyDescent="0.3">
      <c r="A641" t="s">
        <v>100</v>
      </c>
      <c r="B641">
        <v>-35.536745000000003</v>
      </c>
      <c r="C641">
        <v>138.6913744</v>
      </c>
      <c r="D641" s="2">
        <v>46071</v>
      </c>
      <c r="E641" s="20">
        <v>0.36736111111111114</v>
      </c>
      <c r="H641">
        <v>56</v>
      </c>
      <c r="I641">
        <v>111</v>
      </c>
      <c r="J641">
        <v>0</v>
      </c>
      <c r="L641">
        <v>1778</v>
      </c>
      <c r="N641">
        <v>1667</v>
      </c>
      <c r="O641">
        <v>4555</v>
      </c>
      <c r="P641">
        <v>8167</v>
      </c>
      <c r="Q641" t="s">
        <v>129</v>
      </c>
    </row>
    <row r="642" spans="1:17" x14ac:dyDescent="0.3">
      <c r="A642" t="s">
        <v>353</v>
      </c>
      <c r="B642">
        <v>-34.672490000000003</v>
      </c>
      <c r="C642">
        <v>137.49295000000001</v>
      </c>
      <c r="D642" s="2">
        <v>46071</v>
      </c>
      <c r="E642" s="20">
        <v>0.54166666666666663</v>
      </c>
      <c r="F642" s="1"/>
      <c r="G642" s="1"/>
      <c r="H642" s="1"/>
      <c r="I642" s="1"/>
      <c r="J642" s="1">
        <v>278</v>
      </c>
      <c r="K642" s="1"/>
      <c r="L642" s="1"/>
      <c r="M642" s="1"/>
      <c r="N642" s="1"/>
      <c r="O642" s="1"/>
      <c r="P642" s="1"/>
      <c r="Q642" t="s">
        <v>265</v>
      </c>
    </row>
    <row r="643" spans="1:17" x14ac:dyDescent="0.3">
      <c r="A643" t="s">
        <v>370</v>
      </c>
      <c r="B643">
        <v>-34.934266999999998</v>
      </c>
      <c r="C643">
        <v>137.35267999999999</v>
      </c>
      <c r="D643" s="2">
        <v>46071</v>
      </c>
      <c r="E643" s="20">
        <v>0.70833333333333337</v>
      </c>
      <c r="I643">
        <v>9000</v>
      </c>
      <c r="J643">
        <v>3333</v>
      </c>
      <c r="L643">
        <v>1278</v>
      </c>
      <c r="N643">
        <v>389</v>
      </c>
      <c r="O643">
        <v>1056</v>
      </c>
      <c r="P643">
        <v>11723</v>
      </c>
      <c r="Q643" t="s">
        <v>218</v>
      </c>
    </row>
    <row r="644" spans="1:17" x14ac:dyDescent="0.3">
      <c r="A644" t="s">
        <v>371</v>
      </c>
      <c r="B644">
        <v>-34.910024</v>
      </c>
      <c r="C644">
        <v>137.446956</v>
      </c>
      <c r="D644" s="2">
        <v>46071</v>
      </c>
      <c r="E644" s="20">
        <v>0.73958333333333337</v>
      </c>
      <c r="I644">
        <v>17222</v>
      </c>
      <c r="J644">
        <v>13611</v>
      </c>
      <c r="L644">
        <v>4889</v>
      </c>
      <c r="O644">
        <v>833</v>
      </c>
      <c r="P644">
        <v>22944</v>
      </c>
      <c r="Q644" t="s">
        <v>218</v>
      </c>
    </row>
    <row r="645" spans="1:17" x14ac:dyDescent="0.3">
      <c r="A645" t="s">
        <v>87</v>
      </c>
      <c r="B645">
        <v>-35.573300000000003</v>
      </c>
      <c r="C645">
        <v>138.64250000000001</v>
      </c>
      <c r="D645" s="2">
        <v>46071</v>
      </c>
      <c r="E645" s="20">
        <v>0.38194444444444442</v>
      </c>
      <c r="I645">
        <v>56</v>
      </c>
      <c r="J645">
        <v>0</v>
      </c>
      <c r="L645">
        <v>778</v>
      </c>
      <c r="N645">
        <v>1222</v>
      </c>
      <c r="O645">
        <v>1167</v>
      </c>
      <c r="P645">
        <v>3223</v>
      </c>
      <c r="Q645" t="s">
        <v>129</v>
      </c>
    </row>
    <row r="646" spans="1:17" x14ac:dyDescent="0.3">
      <c r="A646" t="s">
        <v>88</v>
      </c>
      <c r="B646">
        <v>-35.581124000000003</v>
      </c>
      <c r="C646">
        <v>138.60879700000001</v>
      </c>
      <c r="D646" s="2">
        <v>46071</v>
      </c>
      <c r="E646" s="20">
        <v>0.39027777777777778</v>
      </c>
      <c r="H646">
        <v>111</v>
      </c>
      <c r="I646">
        <v>56</v>
      </c>
      <c r="J646">
        <v>0</v>
      </c>
      <c r="L646">
        <v>56</v>
      </c>
      <c r="N646">
        <v>444</v>
      </c>
      <c r="O646">
        <v>556</v>
      </c>
      <c r="P646">
        <v>1223</v>
      </c>
      <c r="Q646" t="s">
        <v>129</v>
      </c>
    </row>
    <row r="647" spans="1:17" x14ac:dyDescent="0.3">
      <c r="A647" t="s">
        <v>89</v>
      </c>
      <c r="B647">
        <v>-35.6048446</v>
      </c>
      <c r="C647">
        <v>138.59278499999999</v>
      </c>
      <c r="D647" s="2">
        <v>46071</v>
      </c>
      <c r="E647" s="20">
        <v>0.40625</v>
      </c>
      <c r="G647">
        <v>56</v>
      </c>
      <c r="H647">
        <v>56</v>
      </c>
      <c r="I647">
        <v>56</v>
      </c>
      <c r="J647">
        <v>0</v>
      </c>
      <c r="L647">
        <v>889</v>
      </c>
      <c r="N647">
        <v>1000</v>
      </c>
      <c r="O647">
        <v>556</v>
      </c>
      <c r="P647">
        <v>2613</v>
      </c>
      <c r="Q647" t="s">
        <v>129</v>
      </c>
    </row>
    <row r="648" spans="1:17" x14ac:dyDescent="0.3">
      <c r="A648" t="s">
        <v>375</v>
      </c>
      <c r="B648">
        <v>-35.612285999999997</v>
      </c>
      <c r="C648">
        <v>138.564302</v>
      </c>
      <c r="D648" s="2">
        <v>46071</v>
      </c>
      <c r="E648" s="20">
        <v>0.4152777777777778</v>
      </c>
      <c r="G648">
        <v>56</v>
      </c>
      <c r="H648">
        <v>56</v>
      </c>
      <c r="J648">
        <v>0</v>
      </c>
      <c r="L648">
        <v>889</v>
      </c>
      <c r="N648">
        <v>444</v>
      </c>
      <c r="O648">
        <v>1167</v>
      </c>
      <c r="P648">
        <v>2612</v>
      </c>
      <c r="Q648" t="s">
        <v>129</v>
      </c>
    </row>
    <row r="649" spans="1:17" x14ac:dyDescent="0.3">
      <c r="A649" t="s">
        <v>379</v>
      </c>
      <c r="B649">
        <v>-34.933680000000003</v>
      </c>
      <c r="C649">
        <v>137.35257300000001</v>
      </c>
      <c r="D649" s="2">
        <v>46071</v>
      </c>
      <c r="E649" s="20">
        <v>0.71527777777777779</v>
      </c>
      <c r="I649">
        <v>2722</v>
      </c>
      <c r="J649">
        <v>722</v>
      </c>
      <c r="L649">
        <v>4500</v>
      </c>
      <c r="O649">
        <v>778</v>
      </c>
      <c r="P649">
        <v>8000</v>
      </c>
      <c r="Q649" t="s">
        <v>218</v>
      </c>
    </row>
    <row r="650" spans="1:17" x14ac:dyDescent="0.3">
      <c r="A650" t="s">
        <v>301</v>
      </c>
      <c r="B650">
        <v>-34.899749999999997</v>
      </c>
      <c r="C650">
        <v>137.45174</v>
      </c>
      <c r="D650" s="2">
        <v>46072</v>
      </c>
      <c r="E650" s="20">
        <v>0.66666666666666663</v>
      </c>
      <c r="F650" s="1"/>
      <c r="G650" s="1"/>
      <c r="H650" s="1"/>
      <c r="I650" s="1"/>
      <c r="J650" s="1">
        <v>833</v>
      </c>
      <c r="K650" s="1"/>
      <c r="L650" s="1"/>
      <c r="M650" s="1"/>
      <c r="N650" s="1"/>
      <c r="O650" s="1"/>
      <c r="P650" s="1"/>
      <c r="Q650" t="s">
        <v>265</v>
      </c>
    </row>
    <row r="651" spans="1:17" x14ac:dyDescent="0.3">
      <c r="A651" t="s">
        <v>318</v>
      </c>
      <c r="B651">
        <v>-34.911830000000002</v>
      </c>
      <c r="C651">
        <v>137.16248999999999</v>
      </c>
      <c r="D651" s="2">
        <v>46072</v>
      </c>
      <c r="E651" s="20">
        <v>0.72916666666666663</v>
      </c>
      <c r="F651" s="1"/>
      <c r="G651" s="1"/>
      <c r="H651" s="1"/>
      <c r="I651" s="1"/>
      <c r="J651" s="1">
        <v>0</v>
      </c>
      <c r="K651" s="1"/>
      <c r="L651" s="1"/>
      <c r="M651" s="1"/>
      <c r="N651" s="1"/>
      <c r="O651" s="1"/>
      <c r="P651" s="1"/>
      <c r="Q651" t="s">
        <v>265</v>
      </c>
    </row>
    <row r="652" spans="1:17" x14ac:dyDescent="0.3">
      <c r="A652" t="s">
        <v>267</v>
      </c>
      <c r="B652">
        <v>-34.824044999999998</v>
      </c>
      <c r="C652">
        <v>138.48377600000001</v>
      </c>
      <c r="D652" s="2">
        <v>46072</v>
      </c>
      <c r="E652" s="20">
        <v>0.4375</v>
      </c>
      <c r="F652">
        <v>0</v>
      </c>
      <c r="G652">
        <v>0.375</v>
      </c>
      <c r="H652">
        <v>0</v>
      </c>
      <c r="I652">
        <v>0.15</v>
      </c>
      <c r="J652">
        <v>0</v>
      </c>
      <c r="K652">
        <v>0</v>
      </c>
      <c r="L652">
        <v>1.5</v>
      </c>
      <c r="M652">
        <v>0</v>
      </c>
      <c r="N652">
        <v>0.15</v>
      </c>
      <c r="O652">
        <v>2.5000000000000001E-2</v>
      </c>
      <c r="P652">
        <f>SUM(F652:I652,K652:O652)</f>
        <v>2.1999999999999997</v>
      </c>
      <c r="Q652" t="s">
        <v>78</v>
      </c>
    </row>
    <row r="653" spans="1:17" x14ac:dyDescent="0.3">
      <c r="A653" t="s">
        <v>349</v>
      </c>
      <c r="B653">
        <v>-34.860666999999999</v>
      </c>
      <c r="C653">
        <v>138.490938</v>
      </c>
      <c r="D653" s="2">
        <v>46072</v>
      </c>
      <c r="E653" s="20">
        <v>0.45833333333333331</v>
      </c>
      <c r="F653">
        <v>0</v>
      </c>
      <c r="G653">
        <v>0</v>
      </c>
      <c r="H653">
        <v>0</v>
      </c>
      <c r="I653">
        <v>0.05</v>
      </c>
      <c r="J653">
        <v>0</v>
      </c>
      <c r="K653">
        <v>0</v>
      </c>
      <c r="L653">
        <v>24.2</v>
      </c>
      <c r="M653">
        <v>0</v>
      </c>
      <c r="N653">
        <v>0.2</v>
      </c>
      <c r="O653">
        <v>0.15</v>
      </c>
      <c r="P653">
        <f>SUM(F653:I653,K653:O653)</f>
        <v>24.599999999999998</v>
      </c>
      <c r="Q653" t="s">
        <v>78</v>
      </c>
    </row>
    <row r="654" spans="1:17" x14ac:dyDescent="0.3">
      <c r="A654" t="s">
        <v>79</v>
      </c>
      <c r="B654">
        <v>-34.804662999999998</v>
      </c>
      <c r="C654">
        <v>138.540223</v>
      </c>
      <c r="D654" s="2">
        <v>46072</v>
      </c>
      <c r="E654" s="20">
        <v>0.35416666666666669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17.100000000000001</v>
      </c>
      <c r="M654">
        <v>0</v>
      </c>
      <c r="N654">
        <v>0.22500000000000001</v>
      </c>
      <c r="O654">
        <v>0.52500000000000002</v>
      </c>
      <c r="P654">
        <f>SUM(F654:I654,K654:O654)</f>
        <v>17.850000000000001</v>
      </c>
      <c r="Q654" t="s">
        <v>78</v>
      </c>
    </row>
    <row r="655" spans="1:17" x14ac:dyDescent="0.3">
      <c r="A655" t="s">
        <v>360</v>
      </c>
      <c r="B655">
        <v>-35.878667100000001</v>
      </c>
      <c r="C655">
        <v>137.6963188</v>
      </c>
      <c r="D655" s="2">
        <v>46073</v>
      </c>
      <c r="E655" s="20">
        <v>0.3</v>
      </c>
      <c r="F655">
        <v>0</v>
      </c>
      <c r="G655">
        <v>0</v>
      </c>
      <c r="H655">
        <v>866</v>
      </c>
      <c r="I655">
        <v>2333</v>
      </c>
      <c r="J655">
        <v>2222</v>
      </c>
      <c r="K655">
        <v>111</v>
      </c>
      <c r="L655">
        <v>3111</v>
      </c>
      <c r="M655">
        <v>111</v>
      </c>
      <c r="N655">
        <v>0</v>
      </c>
      <c r="O655">
        <v>222</v>
      </c>
      <c r="P655">
        <v>6754</v>
      </c>
      <c r="Q655" t="s">
        <v>151</v>
      </c>
    </row>
    <row r="656" spans="1:17" x14ac:dyDescent="0.3">
      <c r="A656" t="s">
        <v>352</v>
      </c>
      <c r="B656">
        <v>-34.586370000000002</v>
      </c>
      <c r="C656">
        <v>137.50527</v>
      </c>
      <c r="D656" s="2">
        <v>46073</v>
      </c>
      <c r="E656" s="20">
        <v>0.5</v>
      </c>
      <c r="F656" s="1"/>
      <c r="G656" s="1"/>
      <c r="H656" s="1"/>
      <c r="I656" s="1"/>
      <c r="J656" s="1">
        <v>778</v>
      </c>
      <c r="K656" s="1"/>
      <c r="L656" s="1"/>
      <c r="M656" s="1"/>
      <c r="N656" s="1"/>
      <c r="O656" s="1"/>
      <c r="P656" s="1"/>
      <c r="Q656" t="s">
        <v>265</v>
      </c>
    </row>
    <row r="657" spans="1:17" x14ac:dyDescent="0.3">
      <c r="A657" t="s">
        <v>212</v>
      </c>
      <c r="B657">
        <v>-34.751460000000002</v>
      </c>
      <c r="C657">
        <v>137.47702000000001</v>
      </c>
      <c r="D657" s="2">
        <v>46073</v>
      </c>
      <c r="E657" s="20">
        <v>0.57986111111111116</v>
      </c>
      <c r="F657" s="1"/>
      <c r="G657" s="1"/>
      <c r="H657" s="1"/>
      <c r="I657" s="1"/>
      <c r="J657" s="1">
        <v>944</v>
      </c>
      <c r="K657" s="1"/>
      <c r="L657" s="1"/>
      <c r="M657" s="1"/>
      <c r="N657" s="1"/>
      <c r="O657" s="1"/>
      <c r="P657" s="1"/>
      <c r="Q657" t="s">
        <v>265</v>
      </c>
    </row>
    <row r="658" spans="1:17" x14ac:dyDescent="0.3">
      <c r="A658" t="s">
        <v>361</v>
      </c>
      <c r="B658">
        <v>-35.853555700000001</v>
      </c>
      <c r="C658">
        <v>137.74248499999999</v>
      </c>
      <c r="D658" s="2">
        <v>46074</v>
      </c>
      <c r="E658" s="20">
        <v>0.58333333333333337</v>
      </c>
      <c r="F658">
        <v>0</v>
      </c>
      <c r="G658">
        <v>0</v>
      </c>
      <c r="H658">
        <v>0</v>
      </c>
      <c r="I658">
        <v>5000</v>
      </c>
      <c r="J658">
        <v>5000</v>
      </c>
      <c r="K658">
        <v>0</v>
      </c>
      <c r="L658">
        <v>1333</v>
      </c>
      <c r="M658">
        <v>0</v>
      </c>
      <c r="N658">
        <v>0</v>
      </c>
      <c r="O658">
        <v>0</v>
      </c>
      <c r="P658">
        <v>6333</v>
      </c>
      <c r="Q658" t="s">
        <v>151</v>
      </c>
    </row>
    <row r="659" spans="1:17" x14ac:dyDescent="0.3">
      <c r="A659" t="s">
        <v>362</v>
      </c>
      <c r="B659">
        <v>-35.787276900000002</v>
      </c>
      <c r="C659">
        <v>138.06910160000001</v>
      </c>
      <c r="D659" s="2">
        <v>46074</v>
      </c>
      <c r="E659" s="20">
        <v>0.15</v>
      </c>
      <c r="F659">
        <v>1111</v>
      </c>
      <c r="G659">
        <v>0</v>
      </c>
      <c r="H659">
        <v>444</v>
      </c>
      <c r="I659">
        <v>2333</v>
      </c>
      <c r="J659">
        <v>0</v>
      </c>
      <c r="K659">
        <v>444</v>
      </c>
      <c r="L659">
        <v>15000</v>
      </c>
      <c r="M659">
        <v>1111</v>
      </c>
      <c r="N659">
        <v>0</v>
      </c>
      <c r="O659">
        <v>222</v>
      </c>
      <c r="P659">
        <v>20665</v>
      </c>
      <c r="Q659" t="s">
        <v>151</v>
      </c>
    </row>
    <row r="660" spans="1:17" x14ac:dyDescent="0.3">
      <c r="A660" s="17" t="s">
        <v>364</v>
      </c>
      <c r="B660">
        <v>-34.776083</v>
      </c>
      <c r="C660">
        <v>137.86041700000001</v>
      </c>
      <c r="D660" s="18">
        <v>46074</v>
      </c>
      <c r="E660" s="20">
        <v>0.72916666666666663</v>
      </c>
      <c r="F660" s="17"/>
      <c r="G660" s="17"/>
      <c r="H660" s="17"/>
      <c r="I660" s="17">
        <v>444</v>
      </c>
      <c r="J660" s="17">
        <v>56</v>
      </c>
      <c r="K660" s="17">
        <v>444</v>
      </c>
      <c r="L660" s="17"/>
      <c r="M660" s="17"/>
      <c r="N660" s="17">
        <v>167</v>
      </c>
      <c r="O660" s="17">
        <v>56</v>
      </c>
      <c r="P660" s="17">
        <f t="shared" ref="P660:P666" si="0">SUM(F660:I660,K660:O660)</f>
        <v>1111</v>
      </c>
      <c r="Q660" t="s">
        <v>365</v>
      </c>
    </row>
    <row r="661" spans="1:17" x14ac:dyDescent="0.3">
      <c r="A661" t="s">
        <v>211</v>
      </c>
      <c r="B661">
        <v>-35.515507999999997</v>
      </c>
      <c r="C661">
        <v>138.729004</v>
      </c>
      <c r="D661" s="2">
        <v>46074</v>
      </c>
      <c r="E661" s="20">
        <v>0.47916666666666669</v>
      </c>
      <c r="I661">
        <v>333</v>
      </c>
      <c r="J661">
        <v>0</v>
      </c>
      <c r="L661">
        <v>111</v>
      </c>
      <c r="P661">
        <f t="shared" si="0"/>
        <v>444</v>
      </c>
      <c r="Q661" t="s">
        <v>186</v>
      </c>
    </row>
    <row r="662" spans="1:17" x14ac:dyDescent="0.3">
      <c r="A662" t="s">
        <v>91</v>
      </c>
      <c r="B662">
        <v>-35.536168000000004</v>
      </c>
      <c r="C662">
        <v>138.677615</v>
      </c>
      <c r="D662" s="2">
        <v>46074</v>
      </c>
      <c r="E662" s="20">
        <v>0.48958333333333331</v>
      </c>
      <c r="I662">
        <v>56</v>
      </c>
      <c r="J662">
        <v>0</v>
      </c>
      <c r="L662">
        <v>0</v>
      </c>
      <c r="P662">
        <f t="shared" si="0"/>
        <v>56</v>
      </c>
      <c r="Q662" t="s">
        <v>186</v>
      </c>
    </row>
    <row r="663" spans="1:17" x14ac:dyDescent="0.3">
      <c r="A663" t="s">
        <v>185</v>
      </c>
      <c r="B663">
        <v>-35.538469999999997</v>
      </c>
      <c r="C663">
        <v>138.649779</v>
      </c>
      <c r="D663" s="2">
        <v>46074</v>
      </c>
      <c r="E663" s="20">
        <v>0.49652777777777779</v>
      </c>
      <c r="I663">
        <v>0</v>
      </c>
      <c r="J663">
        <v>0</v>
      </c>
      <c r="L663">
        <v>167</v>
      </c>
      <c r="P663">
        <f t="shared" si="0"/>
        <v>167</v>
      </c>
      <c r="Q663" t="s">
        <v>186</v>
      </c>
    </row>
    <row r="664" spans="1:17" x14ac:dyDescent="0.3">
      <c r="A664" t="s">
        <v>315</v>
      </c>
      <c r="B664">
        <v>-35.5565</v>
      </c>
      <c r="C664">
        <v>138.62610000000001</v>
      </c>
      <c r="D664" s="2">
        <v>46074</v>
      </c>
      <c r="E664" s="20">
        <v>0.50694444444444442</v>
      </c>
      <c r="I664">
        <v>56</v>
      </c>
      <c r="J664">
        <v>0</v>
      </c>
      <c r="L664">
        <v>56</v>
      </c>
      <c r="P664">
        <f t="shared" si="0"/>
        <v>112</v>
      </c>
      <c r="Q664" t="s">
        <v>186</v>
      </c>
    </row>
    <row r="665" spans="1:17" x14ac:dyDescent="0.3">
      <c r="A665" t="s">
        <v>188</v>
      </c>
      <c r="B665">
        <v>-35.592393000000001</v>
      </c>
      <c r="C665">
        <v>138.599706</v>
      </c>
      <c r="D665" s="2">
        <v>46074</v>
      </c>
      <c r="E665" s="20">
        <v>0.52083333333333337</v>
      </c>
      <c r="I665">
        <v>0</v>
      </c>
      <c r="J665">
        <v>0</v>
      </c>
      <c r="L665">
        <v>0</v>
      </c>
      <c r="P665">
        <f t="shared" si="0"/>
        <v>0</v>
      </c>
      <c r="Q665" t="s">
        <v>186</v>
      </c>
    </row>
    <row r="666" spans="1:17" x14ac:dyDescent="0.3">
      <c r="A666" t="s">
        <v>317</v>
      </c>
      <c r="B666">
        <v>-35.634602000000001</v>
      </c>
      <c r="C666">
        <v>138.49898300000001</v>
      </c>
      <c r="D666" s="2">
        <v>46074</v>
      </c>
      <c r="E666" s="20">
        <v>0.55208333333333337</v>
      </c>
      <c r="I666">
        <v>56</v>
      </c>
      <c r="J666">
        <v>0</v>
      </c>
      <c r="L666">
        <v>222</v>
      </c>
      <c r="P666">
        <f t="shared" si="0"/>
        <v>278</v>
      </c>
      <c r="Q666" t="s">
        <v>186</v>
      </c>
    </row>
    <row r="667" spans="1:17" x14ac:dyDescent="0.3">
      <c r="A667" t="s">
        <v>368</v>
      </c>
      <c r="B667">
        <v>-34.918303199999997</v>
      </c>
      <c r="C667">
        <v>135.68486999999999</v>
      </c>
      <c r="D667" s="2">
        <v>46074</v>
      </c>
      <c r="I667">
        <v>0</v>
      </c>
      <c r="J667">
        <v>0</v>
      </c>
      <c r="L667">
        <v>167</v>
      </c>
      <c r="O667">
        <v>56</v>
      </c>
      <c r="P667">
        <v>223</v>
      </c>
      <c r="Q667" t="s">
        <v>283</v>
      </c>
    </row>
    <row r="668" spans="1:17" x14ac:dyDescent="0.3">
      <c r="A668" t="s">
        <v>369</v>
      </c>
      <c r="B668">
        <v>-34.911405199999997</v>
      </c>
      <c r="C668">
        <v>135.68218999999999</v>
      </c>
      <c r="D668" s="2">
        <v>46074</v>
      </c>
      <c r="I668">
        <v>28</v>
      </c>
      <c r="J668">
        <v>0</v>
      </c>
      <c r="L668">
        <v>250</v>
      </c>
      <c r="N668">
        <v>56</v>
      </c>
      <c r="O668">
        <v>56</v>
      </c>
      <c r="P668">
        <v>390</v>
      </c>
      <c r="Q668" t="s">
        <v>283</v>
      </c>
    </row>
    <row r="669" spans="1:17" x14ac:dyDescent="0.3">
      <c r="A669" t="s">
        <v>301</v>
      </c>
      <c r="B669">
        <v>-34.899749999999997</v>
      </c>
      <c r="C669">
        <v>137.45174</v>
      </c>
      <c r="D669" s="2">
        <v>46075</v>
      </c>
      <c r="E669" s="20">
        <v>0.60416666666666663</v>
      </c>
      <c r="F669" s="1"/>
      <c r="G669" s="1"/>
      <c r="H669" s="1"/>
      <c r="I669" s="1">
        <v>3333</v>
      </c>
      <c r="J669" s="1">
        <v>1111</v>
      </c>
      <c r="K669" s="1"/>
      <c r="L669" s="1"/>
      <c r="M669" s="1"/>
      <c r="N669" s="1"/>
      <c r="O669" s="1"/>
      <c r="P669" s="1"/>
      <c r="Q669" t="s">
        <v>265</v>
      </c>
    </row>
    <row r="670" spans="1:17" x14ac:dyDescent="0.3">
      <c r="A670" t="s">
        <v>366</v>
      </c>
      <c r="B670">
        <v>-34.82743</v>
      </c>
      <c r="C670">
        <v>137.45844</v>
      </c>
      <c r="D670" s="2">
        <v>46075</v>
      </c>
      <c r="E670" s="20">
        <v>0.59375</v>
      </c>
      <c r="F670" s="1"/>
      <c r="G670" s="1"/>
      <c r="H670" s="1"/>
      <c r="I670" s="1">
        <v>3111</v>
      </c>
      <c r="J670" s="1">
        <v>389</v>
      </c>
      <c r="K670" s="1"/>
      <c r="L670" s="1"/>
      <c r="M670" s="1"/>
      <c r="N670" s="1"/>
      <c r="O670" s="1"/>
      <c r="P670" s="1"/>
      <c r="Q670" t="s">
        <v>265</v>
      </c>
    </row>
    <row r="671" spans="1:17" x14ac:dyDescent="0.3">
      <c r="A671" t="s">
        <v>212</v>
      </c>
      <c r="B671">
        <v>-34.751460000000002</v>
      </c>
      <c r="C671">
        <v>137.47702000000001</v>
      </c>
      <c r="D671" s="2">
        <v>46075</v>
      </c>
      <c r="E671" s="20">
        <v>0.58333333333333337</v>
      </c>
      <c r="F671" s="1"/>
      <c r="G671" s="1"/>
      <c r="H671" s="1"/>
      <c r="I671" s="1"/>
      <c r="J671" s="1">
        <v>111</v>
      </c>
      <c r="K671" s="1"/>
      <c r="L671" s="1"/>
      <c r="M671" s="1"/>
      <c r="N671" s="1"/>
      <c r="O671" s="1"/>
      <c r="P671" s="1"/>
      <c r="Q671" t="s">
        <v>265</v>
      </c>
    </row>
    <row r="672" spans="1:17" x14ac:dyDescent="0.3">
      <c r="A672" t="s">
        <v>92</v>
      </c>
      <c r="B672">
        <v>-35.632150000000003</v>
      </c>
      <c r="C672">
        <v>138.48339999999999</v>
      </c>
      <c r="D672" s="2">
        <v>46075</v>
      </c>
      <c r="E672" s="20">
        <v>0.58333333333333337</v>
      </c>
      <c r="F672">
        <v>0</v>
      </c>
      <c r="G672">
        <v>0.3</v>
      </c>
      <c r="H672">
        <v>0</v>
      </c>
      <c r="I672">
        <v>0.63300000000000001</v>
      </c>
      <c r="J672">
        <v>0</v>
      </c>
      <c r="K672">
        <v>0</v>
      </c>
      <c r="L672">
        <v>6.3</v>
      </c>
      <c r="M672">
        <v>0</v>
      </c>
      <c r="N672">
        <v>0.23300000000000001</v>
      </c>
      <c r="O672">
        <v>0.1</v>
      </c>
      <c r="P672">
        <f>SUM(F672:I672,K672:O672)</f>
        <v>7.5659999999999989</v>
      </c>
      <c r="Q672" t="s">
        <v>78</v>
      </c>
    </row>
    <row r="673" spans="1:17" x14ac:dyDescent="0.3">
      <c r="A673" t="s">
        <v>89</v>
      </c>
      <c r="B673">
        <v>-35.6048446</v>
      </c>
      <c r="C673">
        <v>138.59278499999999</v>
      </c>
      <c r="D673" s="2">
        <v>46075</v>
      </c>
      <c r="J673">
        <v>0</v>
      </c>
      <c r="L673">
        <v>556</v>
      </c>
      <c r="O673">
        <v>1267</v>
      </c>
      <c r="P673">
        <v>1823</v>
      </c>
      <c r="Q673" t="s">
        <v>129</v>
      </c>
    </row>
    <row r="674" spans="1:17" x14ac:dyDescent="0.3">
      <c r="A674" t="s">
        <v>387</v>
      </c>
      <c r="B674">
        <v>-35.739091000000002</v>
      </c>
      <c r="C674">
        <v>137.67788400000001</v>
      </c>
      <c r="D674" s="2">
        <v>46076</v>
      </c>
      <c r="E674" s="20">
        <v>0.3</v>
      </c>
      <c r="F674">
        <v>0</v>
      </c>
      <c r="G674">
        <v>0</v>
      </c>
      <c r="H674">
        <v>0</v>
      </c>
      <c r="I674">
        <v>222</v>
      </c>
      <c r="J674">
        <v>0</v>
      </c>
      <c r="K674">
        <v>0</v>
      </c>
      <c r="L674">
        <v>4333</v>
      </c>
      <c r="M674">
        <v>222</v>
      </c>
      <c r="N674">
        <v>0</v>
      </c>
      <c r="P674">
        <v>4777</v>
      </c>
      <c r="Q674" t="s">
        <v>151</v>
      </c>
    </row>
    <row r="675" spans="1:17" x14ac:dyDescent="0.3">
      <c r="A675" t="s">
        <v>357</v>
      </c>
      <c r="B675">
        <v>-34.494970000000002</v>
      </c>
      <c r="C675">
        <v>137.48038</v>
      </c>
      <c r="D675" s="2">
        <v>46076</v>
      </c>
      <c r="E675" s="20">
        <v>0.57291666666666663</v>
      </c>
      <c r="F675" s="1"/>
      <c r="G675" s="1"/>
      <c r="H675" s="1"/>
      <c r="I675" s="1"/>
      <c r="J675" s="1">
        <v>1389</v>
      </c>
      <c r="K675" s="1"/>
      <c r="L675" s="1"/>
      <c r="M675" s="1"/>
      <c r="N675" s="1"/>
      <c r="O675" s="1"/>
      <c r="P675" s="1"/>
      <c r="Q675" t="s">
        <v>265</v>
      </c>
    </row>
    <row r="676" spans="1:17" x14ac:dyDescent="0.3">
      <c r="A676" t="s">
        <v>130</v>
      </c>
      <c r="B676">
        <v>-35.078539999999997</v>
      </c>
      <c r="C676">
        <v>138.49587</v>
      </c>
      <c r="D676" s="2">
        <v>46078</v>
      </c>
      <c r="E676" s="20">
        <v>0.625</v>
      </c>
      <c r="F676">
        <v>0</v>
      </c>
      <c r="G676">
        <v>0</v>
      </c>
      <c r="H676">
        <v>0.1</v>
      </c>
      <c r="I676">
        <v>0.1</v>
      </c>
      <c r="J676">
        <v>0</v>
      </c>
      <c r="K676">
        <v>0</v>
      </c>
      <c r="L676">
        <v>6.4</v>
      </c>
      <c r="M676">
        <v>0.3</v>
      </c>
      <c r="N676">
        <v>0.1</v>
      </c>
      <c r="O676">
        <v>0.2</v>
      </c>
      <c r="P676">
        <f>SUM(F676:I676,K676:O676)</f>
        <v>7.2</v>
      </c>
      <c r="Q676" t="s">
        <v>78</v>
      </c>
    </row>
    <row r="677" spans="1:17" x14ac:dyDescent="0.3">
      <c r="A677" t="s">
        <v>367</v>
      </c>
      <c r="B677">
        <v>-35.119663000000003</v>
      </c>
      <c r="C677">
        <v>138.46739500000001</v>
      </c>
      <c r="D677" s="2">
        <v>46078</v>
      </c>
      <c r="E677" s="20">
        <v>0.61111111111111116</v>
      </c>
      <c r="F677">
        <v>0</v>
      </c>
      <c r="G677">
        <v>0</v>
      </c>
      <c r="H677">
        <v>3.3000000000000002E-2</v>
      </c>
      <c r="I677">
        <v>0.16700000000000001</v>
      </c>
      <c r="J677">
        <v>0</v>
      </c>
      <c r="K677">
        <v>0</v>
      </c>
      <c r="L677">
        <v>0.33300000000000002</v>
      </c>
      <c r="M677">
        <v>0</v>
      </c>
      <c r="N677">
        <v>0.16700000000000001</v>
      </c>
      <c r="O677">
        <v>5.7000000000000002E-2</v>
      </c>
      <c r="P677">
        <f>SUM(F677:I677,K677:O677)</f>
        <v>0.75700000000000012</v>
      </c>
      <c r="Q677" t="s">
        <v>78</v>
      </c>
    </row>
    <row r="678" spans="1:17" x14ac:dyDescent="0.3">
      <c r="A678" t="s">
        <v>59</v>
      </c>
      <c r="B678">
        <v>-35.084850000000003</v>
      </c>
      <c r="C678">
        <v>137.74889999999999</v>
      </c>
      <c r="D678" s="2">
        <v>46078</v>
      </c>
      <c r="E678" s="20">
        <v>0.54166666666666663</v>
      </c>
      <c r="G678">
        <v>56</v>
      </c>
      <c r="I678">
        <v>222</v>
      </c>
      <c r="J678">
        <v>0</v>
      </c>
      <c r="L678">
        <v>667</v>
      </c>
      <c r="N678">
        <v>389</v>
      </c>
      <c r="P678">
        <v>1334</v>
      </c>
      <c r="Q678" t="s">
        <v>149</v>
      </c>
    </row>
    <row r="679" spans="1:17" x14ac:dyDescent="0.3">
      <c r="A679" t="s">
        <v>59</v>
      </c>
      <c r="B679">
        <v>-35.084850000000003</v>
      </c>
      <c r="C679">
        <v>137.74889999999999</v>
      </c>
      <c r="D679" s="2">
        <v>46078</v>
      </c>
      <c r="E679" s="20">
        <v>0.54166666666666663</v>
      </c>
      <c r="G679">
        <v>56</v>
      </c>
      <c r="I679">
        <v>56</v>
      </c>
      <c r="J679">
        <v>0</v>
      </c>
      <c r="L679">
        <v>444</v>
      </c>
      <c r="N679">
        <v>1111</v>
      </c>
      <c r="P679">
        <v>1667</v>
      </c>
      <c r="Q679" t="s">
        <v>149</v>
      </c>
    </row>
    <row r="680" spans="1:17" x14ac:dyDescent="0.3">
      <c r="A680" t="s">
        <v>381</v>
      </c>
      <c r="B680">
        <v>-34.759169999999997</v>
      </c>
      <c r="C680">
        <v>137.47612000000001</v>
      </c>
      <c r="D680" s="2">
        <v>46078</v>
      </c>
      <c r="E680" s="20">
        <v>0.58333333333333337</v>
      </c>
      <c r="J680">
        <v>1833</v>
      </c>
      <c r="Q680" t="s">
        <v>265</v>
      </c>
    </row>
    <row r="681" spans="1:17" x14ac:dyDescent="0.3">
      <c r="A681" t="s">
        <v>262</v>
      </c>
      <c r="B681">
        <v>-34.672490000000003</v>
      </c>
      <c r="C681">
        <v>137.49295000000001</v>
      </c>
      <c r="D681" s="2">
        <v>46078</v>
      </c>
      <c r="J681">
        <v>333</v>
      </c>
      <c r="Q681" t="s">
        <v>265</v>
      </c>
    </row>
    <row r="682" spans="1:17" x14ac:dyDescent="0.3">
      <c r="A682" t="s">
        <v>382</v>
      </c>
      <c r="B682">
        <v>-34.494970000000002</v>
      </c>
      <c r="C682">
        <v>137.48038</v>
      </c>
      <c r="D682" s="2">
        <v>46078</v>
      </c>
      <c r="E682" s="20">
        <v>0.54861111111111116</v>
      </c>
      <c r="J682">
        <v>167</v>
      </c>
      <c r="Q682" t="s">
        <v>265</v>
      </c>
    </row>
    <row r="683" spans="1:17" x14ac:dyDescent="0.3">
      <c r="A683" t="s">
        <v>383</v>
      </c>
      <c r="B683">
        <v>-34.584389999999999</v>
      </c>
      <c r="C683">
        <v>137.50560999999999</v>
      </c>
      <c r="D683" s="2">
        <v>46078</v>
      </c>
      <c r="E683" s="20">
        <v>0.5625</v>
      </c>
      <c r="J683">
        <v>0</v>
      </c>
      <c r="Q683" t="s">
        <v>265</v>
      </c>
    </row>
    <row r="684" spans="1:17" x14ac:dyDescent="0.3">
      <c r="A684" t="s">
        <v>301</v>
      </c>
      <c r="B684">
        <v>-34.899749999999997</v>
      </c>
      <c r="C684">
        <v>137.45174</v>
      </c>
      <c r="D684" s="2">
        <v>46079</v>
      </c>
      <c r="E684" s="20">
        <v>0.58333333333333337</v>
      </c>
      <c r="J684">
        <v>4833</v>
      </c>
      <c r="Q684" t="s">
        <v>265</v>
      </c>
    </row>
    <row r="685" spans="1:17" x14ac:dyDescent="0.3">
      <c r="A685" t="s">
        <v>37</v>
      </c>
      <c r="B685">
        <v>-34.289369999999998</v>
      </c>
      <c r="C685">
        <v>138.01242999999999</v>
      </c>
      <c r="D685" s="2">
        <v>46080</v>
      </c>
      <c r="F685">
        <v>56</v>
      </c>
      <c r="G685">
        <v>389</v>
      </c>
      <c r="H685">
        <v>1222</v>
      </c>
      <c r="I685">
        <v>222</v>
      </c>
      <c r="J685">
        <v>0</v>
      </c>
      <c r="L685">
        <v>1556</v>
      </c>
      <c r="M685">
        <v>56</v>
      </c>
      <c r="N685">
        <v>3333</v>
      </c>
      <c r="O685">
        <v>56</v>
      </c>
      <c r="P685">
        <v>6889</v>
      </c>
      <c r="Q685" t="s">
        <v>76</v>
      </c>
    </row>
    <row r="686" spans="1:17" x14ac:dyDescent="0.3">
      <c r="A686" t="s">
        <v>374</v>
      </c>
      <c r="B686">
        <v>-34.902070808541197</v>
      </c>
      <c r="C686">
        <v>137.79925776072</v>
      </c>
      <c r="D686" s="2">
        <v>46080</v>
      </c>
      <c r="E686" s="20">
        <v>0.71875</v>
      </c>
      <c r="I686">
        <v>389</v>
      </c>
      <c r="J686">
        <v>167</v>
      </c>
      <c r="K686" t="s">
        <v>372</v>
      </c>
      <c r="L686">
        <v>167</v>
      </c>
      <c r="N686">
        <v>556</v>
      </c>
      <c r="O686">
        <v>278</v>
      </c>
      <c r="P686">
        <v>1390</v>
      </c>
      <c r="Q686" t="s">
        <v>365</v>
      </c>
    </row>
    <row r="687" spans="1:17" x14ac:dyDescent="0.3">
      <c r="A687" t="s">
        <v>379</v>
      </c>
      <c r="B687">
        <v>-34.933680000000003</v>
      </c>
      <c r="C687">
        <v>137.35257300000001</v>
      </c>
      <c r="D687" s="2">
        <v>46080</v>
      </c>
      <c r="E687" s="20">
        <v>0.53125</v>
      </c>
      <c r="I687">
        <v>834</v>
      </c>
      <c r="J687">
        <v>556</v>
      </c>
      <c r="L687">
        <v>56</v>
      </c>
      <c r="O687">
        <v>167</v>
      </c>
      <c r="P687">
        <v>1057</v>
      </c>
      <c r="Q687" t="s">
        <v>218</v>
      </c>
    </row>
    <row r="688" spans="1:17" x14ac:dyDescent="0.3">
      <c r="A688" t="s">
        <v>381</v>
      </c>
      <c r="B688">
        <v>-34.759169999999997</v>
      </c>
      <c r="C688">
        <v>137.47612000000001</v>
      </c>
      <c r="D688" s="2">
        <v>46080</v>
      </c>
      <c r="E688" s="20">
        <v>0.58333333333333337</v>
      </c>
      <c r="J688">
        <v>1556</v>
      </c>
      <c r="Q688" t="s">
        <v>265</v>
      </c>
    </row>
    <row r="689" spans="1:17" x14ac:dyDescent="0.3">
      <c r="A689" t="s">
        <v>373</v>
      </c>
      <c r="B689">
        <v>-34.075153</v>
      </c>
      <c r="C689">
        <v>137.543789</v>
      </c>
      <c r="D689" s="2">
        <v>46081</v>
      </c>
      <c r="G689">
        <v>778</v>
      </c>
      <c r="H689">
        <v>111</v>
      </c>
      <c r="I689">
        <v>222</v>
      </c>
      <c r="J689">
        <v>0</v>
      </c>
      <c r="L689">
        <v>56</v>
      </c>
      <c r="M689">
        <v>111</v>
      </c>
      <c r="P689">
        <v>1278</v>
      </c>
      <c r="Q689" t="s">
        <v>76</v>
      </c>
    </row>
    <row r="690" spans="1:17" x14ac:dyDescent="0.3">
      <c r="A690" t="s">
        <v>302</v>
      </c>
      <c r="B690">
        <v>-35.762554199999997</v>
      </c>
      <c r="C690">
        <v>137.8867127</v>
      </c>
      <c r="D690" s="2">
        <v>46081</v>
      </c>
      <c r="E690" s="20">
        <v>0.61458333333333337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8000</v>
      </c>
      <c r="M690">
        <v>222</v>
      </c>
      <c r="N690">
        <v>0</v>
      </c>
      <c r="O690">
        <v>0</v>
      </c>
      <c r="P690">
        <v>8222</v>
      </c>
      <c r="Q690" t="s">
        <v>151</v>
      </c>
    </row>
    <row r="691" spans="1:17" x14ac:dyDescent="0.3">
      <c r="A691" t="s">
        <v>361</v>
      </c>
      <c r="B691">
        <v>-35.853555700000001</v>
      </c>
      <c r="C691">
        <v>137.74248499999999</v>
      </c>
      <c r="D691" s="2">
        <v>46081</v>
      </c>
      <c r="E691" s="20">
        <v>0.72916666666666663</v>
      </c>
      <c r="F691">
        <v>0</v>
      </c>
      <c r="G691">
        <v>0</v>
      </c>
      <c r="H691">
        <v>0</v>
      </c>
      <c r="I691">
        <v>222</v>
      </c>
      <c r="J691">
        <v>222</v>
      </c>
      <c r="K691">
        <v>0</v>
      </c>
      <c r="L691">
        <v>5333</v>
      </c>
      <c r="M691">
        <v>333</v>
      </c>
      <c r="N691">
        <v>0</v>
      </c>
      <c r="O691">
        <v>222</v>
      </c>
      <c r="P691">
        <v>6110</v>
      </c>
      <c r="Q691" t="s">
        <v>151</v>
      </c>
    </row>
    <row r="692" spans="1:17" x14ac:dyDescent="0.3">
      <c r="A692" t="s">
        <v>376</v>
      </c>
      <c r="B692">
        <v>-35.852509699999999</v>
      </c>
      <c r="C692">
        <v>137.7474651</v>
      </c>
      <c r="D692" s="2">
        <v>46083</v>
      </c>
      <c r="E692" s="20">
        <v>0.52083333333333337</v>
      </c>
      <c r="F692">
        <v>0</v>
      </c>
      <c r="G692">
        <v>0</v>
      </c>
      <c r="H692">
        <v>0</v>
      </c>
      <c r="I692">
        <v>333</v>
      </c>
      <c r="J692">
        <v>333</v>
      </c>
      <c r="L692">
        <v>1444</v>
      </c>
      <c r="M692">
        <v>0</v>
      </c>
      <c r="N692">
        <v>0</v>
      </c>
      <c r="O692">
        <v>1111</v>
      </c>
      <c r="P692">
        <v>2888</v>
      </c>
      <c r="Q692" t="s">
        <v>151</v>
      </c>
    </row>
    <row r="693" spans="1:17" x14ac:dyDescent="0.3">
      <c r="A693" t="s">
        <v>377</v>
      </c>
      <c r="B693">
        <v>-35.787201000000003</v>
      </c>
      <c r="C693">
        <v>137.778009</v>
      </c>
      <c r="D693" s="2">
        <v>46083</v>
      </c>
      <c r="E693" s="20">
        <v>0.4826388888888889</v>
      </c>
      <c r="F693">
        <v>0</v>
      </c>
      <c r="G693">
        <v>111</v>
      </c>
      <c r="H693">
        <v>0</v>
      </c>
      <c r="I693">
        <v>1111</v>
      </c>
      <c r="J693">
        <v>0</v>
      </c>
      <c r="K693">
        <v>1111</v>
      </c>
      <c r="L693">
        <v>11556</v>
      </c>
      <c r="M693">
        <v>1111</v>
      </c>
      <c r="N693">
        <v>0</v>
      </c>
      <c r="O693">
        <v>1111</v>
      </c>
      <c r="P693">
        <v>16111</v>
      </c>
      <c r="Q693" t="s">
        <v>151</v>
      </c>
    </row>
    <row r="694" spans="1:17" x14ac:dyDescent="0.3">
      <c r="A694" t="s">
        <v>381</v>
      </c>
      <c r="B694">
        <v>-34.759169999999997</v>
      </c>
      <c r="C694">
        <v>137.47612000000001</v>
      </c>
      <c r="D694" s="2">
        <v>46083</v>
      </c>
      <c r="E694" s="20">
        <v>0.58333333333333337</v>
      </c>
      <c r="J694">
        <v>2667</v>
      </c>
      <c r="Q694" t="s">
        <v>265</v>
      </c>
    </row>
    <row r="695" spans="1:17" x14ac:dyDescent="0.3">
      <c r="A695" t="s">
        <v>382</v>
      </c>
      <c r="B695">
        <v>-34.494970000000002</v>
      </c>
      <c r="C695">
        <v>137.48038</v>
      </c>
      <c r="D695" s="2">
        <v>46083</v>
      </c>
      <c r="E695" s="20">
        <v>0.5625</v>
      </c>
      <c r="J695">
        <v>222</v>
      </c>
      <c r="Q695" t="s">
        <v>265</v>
      </c>
    </row>
    <row r="696" spans="1:17" x14ac:dyDescent="0.3">
      <c r="A696" t="s">
        <v>394</v>
      </c>
      <c r="B696">
        <v>-36.866</v>
      </c>
      <c r="C696">
        <v>139.81913</v>
      </c>
      <c r="D696" s="2">
        <v>46083</v>
      </c>
      <c r="G696">
        <v>333</v>
      </c>
      <c r="H696">
        <v>778</v>
      </c>
      <c r="I696">
        <v>667</v>
      </c>
      <c r="J696">
        <v>0</v>
      </c>
      <c r="L696">
        <v>31333</v>
      </c>
      <c r="N696">
        <v>1889</v>
      </c>
      <c r="O696">
        <v>1389</v>
      </c>
      <c r="P696">
        <v>36389</v>
      </c>
      <c r="Q696" t="s">
        <v>129</v>
      </c>
    </row>
    <row r="697" spans="1:17" x14ac:dyDescent="0.3">
      <c r="A697" t="s">
        <v>374</v>
      </c>
      <c r="B697">
        <v>-34.902070808541197</v>
      </c>
      <c r="C697">
        <v>137.79925776072</v>
      </c>
      <c r="D697" s="2">
        <v>46084</v>
      </c>
      <c r="E697" s="20">
        <v>0.71527777777777779</v>
      </c>
      <c r="I697">
        <v>667</v>
      </c>
      <c r="J697">
        <v>0</v>
      </c>
      <c r="L697">
        <v>333</v>
      </c>
      <c r="N697">
        <v>389</v>
      </c>
      <c r="O697">
        <v>167</v>
      </c>
      <c r="P697">
        <v>1556</v>
      </c>
      <c r="Q697" t="s">
        <v>365</v>
      </c>
    </row>
    <row r="698" spans="1:17" x14ac:dyDescent="0.3">
      <c r="A698" t="s">
        <v>380</v>
      </c>
      <c r="B698">
        <v>-34.495376</v>
      </c>
      <c r="C698">
        <v>137.481537</v>
      </c>
      <c r="D698" s="2">
        <v>46084</v>
      </c>
      <c r="E698" s="20">
        <v>0.82291666666666663</v>
      </c>
      <c r="I698">
        <v>1444</v>
      </c>
      <c r="J698">
        <v>833</v>
      </c>
      <c r="L698">
        <v>1222</v>
      </c>
      <c r="N698">
        <v>1000</v>
      </c>
      <c r="O698">
        <v>223</v>
      </c>
      <c r="P698">
        <v>3889</v>
      </c>
      <c r="Q698" t="s">
        <v>218</v>
      </c>
    </row>
    <row r="699" spans="1:17" x14ac:dyDescent="0.3">
      <c r="A699" t="s">
        <v>381</v>
      </c>
      <c r="B699">
        <v>-34.759169999999997</v>
      </c>
      <c r="C699">
        <v>137.47612000000001</v>
      </c>
      <c r="D699" s="2">
        <v>46085</v>
      </c>
      <c r="E699" s="20">
        <v>0.58333333333333337</v>
      </c>
      <c r="J699">
        <v>167</v>
      </c>
      <c r="Q699" t="s">
        <v>265</v>
      </c>
    </row>
    <row r="700" spans="1:17" x14ac:dyDescent="0.3">
      <c r="A700" t="s">
        <v>301</v>
      </c>
      <c r="B700">
        <v>-34.899749999999997</v>
      </c>
      <c r="C700">
        <v>137.45174</v>
      </c>
      <c r="D700" s="2">
        <v>46086</v>
      </c>
      <c r="E700" s="20">
        <v>0.71875</v>
      </c>
      <c r="J700">
        <v>3167</v>
      </c>
      <c r="Q700" t="s">
        <v>265</v>
      </c>
    </row>
    <row r="701" spans="1:17" x14ac:dyDescent="0.3">
      <c r="A701" t="s">
        <v>381</v>
      </c>
      <c r="B701">
        <v>-34.759169999999997</v>
      </c>
      <c r="C701">
        <v>137.47612000000001</v>
      </c>
      <c r="D701" s="2">
        <v>46087</v>
      </c>
      <c r="E701" s="20">
        <v>0.58333333333333337</v>
      </c>
      <c r="J701">
        <v>0</v>
      </c>
      <c r="Q701" t="s">
        <v>265</v>
      </c>
    </row>
    <row r="702" spans="1:17" x14ac:dyDescent="0.3">
      <c r="A702" t="s">
        <v>376</v>
      </c>
      <c r="B702">
        <v>-35.853555700000001</v>
      </c>
      <c r="C702">
        <v>137.74248499999999</v>
      </c>
      <c r="D702" s="2">
        <v>46087</v>
      </c>
      <c r="E702" s="20">
        <v>0.47916666666666669</v>
      </c>
      <c r="F702">
        <v>167</v>
      </c>
      <c r="G702">
        <v>0</v>
      </c>
      <c r="H702">
        <v>9222</v>
      </c>
      <c r="I702">
        <v>444</v>
      </c>
      <c r="J702">
        <v>444</v>
      </c>
      <c r="K702">
        <v>0</v>
      </c>
      <c r="L702">
        <v>1222</v>
      </c>
      <c r="M702">
        <v>0</v>
      </c>
      <c r="N702">
        <v>0</v>
      </c>
      <c r="O702">
        <v>111</v>
      </c>
      <c r="P702">
        <v>11166</v>
      </c>
      <c r="Q702" t="s">
        <v>151</v>
      </c>
    </row>
    <row r="703" spans="1:17" x14ac:dyDescent="0.3">
      <c r="A703" t="s">
        <v>387</v>
      </c>
      <c r="B703">
        <v>-35.739091000000002</v>
      </c>
      <c r="C703">
        <v>137.67788400000001</v>
      </c>
      <c r="D703" s="2">
        <v>46087</v>
      </c>
      <c r="E703" s="20">
        <v>0.58333333333333337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150</v>
      </c>
      <c r="O703">
        <v>0</v>
      </c>
      <c r="P703">
        <v>150</v>
      </c>
      <c r="Q703" t="s">
        <v>151</v>
      </c>
    </row>
    <row r="704" spans="1:17" x14ac:dyDescent="0.3">
      <c r="A704" t="s">
        <v>267</v>
      </c>
      <c r="B704">
        <v>-34.824044999999998</v>
      </c>
      <c r="C704">
        <v>138.48377600000001</v>
      </c>
      <c r="D704" s="2">
        <v>46088</v>
      </c>
      <c r="E704" s="22"/>
      <c r="G704">
        <v>0.2</v>
      </c>
      <c r="I704">
        <v>1.3</v>
      </c>
      <c r="J704">
        <v>0</v>
      </c>
      <c r="K704" s="23"/>
      <c r="L704">
        <v>60.5</v>
      </c>
      <c r="M704" s="23"/>
      <c r="N704">
        <v>1.1000000000000001</v>
      </c>
      <c r="O704">
        <v>0.6</v>
      </c>
      <c r="P704">
        <f>SUM(F704:I704,K704:O704)</f>
        <v>63.7</v>
      </c>
      <c r="Q704" t="s">
        <v>78</v>
      </c>
    </row>
    <row r="705" spans="1:17" x14ac:dyDescent="0.3">
      <c r="A705" t="s">
        <v>85</v>
      </c>
      <c r="B705">
        <v>-34.873964000000001</v>
      </c>
      <c r="C705">
        <v>138.488134</v>
      </c>
      <c r="D705" s="2">
        <v>46088</v>
      </c>
      <c r="E705" s="22"/>
      <c r="I705">
        <v>3.15</v>
      </c>
      <c r="J705">
        <v>0</v>
      </c>
      <c r="K705" s="23"/>
      <c r="L705">
        <v>3.9</v>
      </c>
      <c r="M705" s="23"/>
      <c r="N705">
        <v>0.45</v>
      </c>
      <c r="O705">
        <v>0.6</v>
      </c>
      <c r="P705">
        <f>SUM(F705:I705,K705:O705)</f>
        <v>8.1</v>
      </c>
      <c r="Q705" t="s">
        <v>78</v>
      </c>
    </row>
    <row r="706" spans="1:17" x14ac:dyDescent="0.3">
      <c r="A706" t="s">
        <v>79</v>
      </c>
      <c r="B706">
        <v>-34.804662999999998</v>
      </c>
      <c r="C706">
        <v>138.540223</v>
      </c>
      <c r="D706" s="2">
        <v>46088</v>
      </c>
      <c r="E706" s="22"/>
      <c r="I706">
        <v>0.4</v>
      </c>
      <c r="J706">
        <v>0</v>
      </c>
      <c r="K706" s="23"/>
      <c r="L706">
        <v>35.6</v>
      </c>
      <c r="M706" s="23"/>
      <c r="N706">
        <v>0</v>
      </c>
      <c r="O706">
        <v>0.4</v>
      </c>
      <c r="P706">
        <f>SUM(F706:I706,K706:O706)</f>
        <v>36.4</v>
      </c>
      <c r="Q706" t="s">
        <v>78</v>
      </c>
    </row>
    <row r="707" spans="1:17" x14ac:dyDescent="0.3">
      <c r="A707" t="s">
        <v>313</v>
      </c>
      <c r="B707">
        <v>-35.516800000000003</v>
      </c>
      <c r="C707">
        <v>138.73820000000001</v>
      </c>
      <c r="D707" s="2">
        <v>46089</v>
      </c>
      <c r="E707" s="20">
        <v>0.64097222222222228</v>
      </c>
      <c r="I707">
        <v>0</v>
      </c>
      <c r="J707">
        <v>0</v>
      </c>
      <c r="L707">
        <v>222</v>
      </c>
      <c r="P707">
        <v>222</v>
      </c>
      <c r="Q707" t="s">
        <v>186</v>
      </c>
    </row>
    <row r="708" spans="1:17" x14ac:dyDescent="0.3">
      <c r="A708" t="s">
        <v>187</v>
      </c>
      <c r="B708">
        <v>-35.515900000000002</v>
      </c>
      <c r="C708">
        <v>138.70529999999999</v>
      </c>
      <c r="D708" s="2">
        <v>46089</v>
      </c>
      <c r="E708" s="20">
        <v>0.6479166666666667</v>
      </c>
      <c r="I708">
        <v>111</v>
      </c>
      <c r="J708">
        <v>0</v>
      </c>
      <c r="L708">
        <v>222</v>
      </c>
      <c r="P708">
        <v>333</v>
      </c>
      <c r="Q708" t="s">
        <v>186</v>
      </c>
    </row>
    <row r="709" spans="1:17" x14ac:dyDescent="0.3">
      <c r="A709" t="s">
        <v>91</v>
      </c>
      <c r="B709">
        <v>-35.536299999999997</v>
      </c>
      <c r="C709">
        <v>138.67859999999999</v>
      </c>
      <c r="D709" s="2">
        <v>46089</v>
      </c>
      <c r="E709" s="20">
        <v>0.65555555555555556</v>
      </c>
      <c r="I709">
        <v>0</v>
      </c>
      <c r="J709">
        <v>0</v>
      </c>
      <c r="L709">
        <v>167</v>
      </c>
      <c r="P709">
        <v>167</v>
      </c>
      <c r="Q709" t="s">
        <v>186</v>
      </c>
    </row>
    <row r="710" spans="1:17" x14ac:dyDescent="0.3">
      <c r="A710" t="s">
        <v>185</v>
      </c>
      <c r="B710">
        <v>-35.538600000000002</v>
      </c>
      <c r="C710">
        <v>138.6497</v>
      </c>
      <c r="D710" s="2">
        <v>46089</v>
      </c>
      <c r="E710" s="20">
        <v>0.66249999999999998</v>
      </c>
      <c r="I710">
        <v>0</v>
      </c>
      <c r="J710">
        <v>0</v>
      </c>
      <c r="L710">
        <v>0</v>
      </c>
      <c r="P710">
        <v>0</v>
      </c>
      <c r="Q710" t="s">
        <v>186</v>
      </c>
    </row>
    <row r="711" spans="1:17" x14ac:dyDescent="0.3">
      <c r="A711" t="s">
        <v>315</v>
      </c>
      <c r="B711">
        <v>-35.5565</v>
      </c>
      <c r="C711">
        <v>138.62610000000001</v>
      </c>
      <c r="D711" s="2">
        <v>46089</v>
      </c>
      <c r="E711" s="20">
        <v>0.67013888888888884</v>
      </c>
      <c r="I711">
        <v>0</v>
      </c>
      <c r="J711">
        <v>0</v>
      </c>
      <c r="L711">
        <v>0</v>
      </c>
      <c r="P711">
        <v>0</v>
      </c>
      <c r="Q711" t="s">
        <v>186</v>
      </c>
    </row>
    <row r="712" spans="1:17" x14ac:dyDescent="0.3">
      <c r="A712" t="s">
        <v>188</v>
      </c>
      <c r="B712">
        <v>-35.5565</v>
      </c>
      <c r="C712">
        <v>138.62610000000001</v>
      </c>
      <c r="D712" s="2">
        <v>46089</v>
      </c>
      <c r="E712" s="20">
        <v>0.67708333333333337</v>
      </c>
      <c r="I712">
        <v>0</v>
      </c>
      <c r="J712">
        <v>0</v>
      </c>
      <c r="L712">
        <v>167</v>
      </c>
      <c r="P712">
        <v>167</v>
      </c>
      <c r="Q712" t="s">
        <v>186</v>
      </c>
    </row>
    <row r="713" spans="1:17" x14ac:dyDescent="0.3">
      <c r="A713" t="s">
        <v>317</v>
      </c>
      <c r="B713">
        <v>-35.634900000000002</v>
      </c>
      <c r="C713">
        <v>138.49850000000001</v>
      </c>
      <c r="D713" s="2">
        <v>46089</v>
      </c>
      <c r="E713" s="20">
        <v>0.69374999999999998</v>
      </c>
      <c r="I713">
        <v>0</v>
      </c>
      <c r="J713">
        <v>0</v>
      </c>
      <c r="L713">
        <v>111</v>
      </c>
      <c r="P713">
        <v>111</v>
      </c>
      <c r="Q713" t="s">
        <v>186</v>
      </c>
    </row>
    <row r="714" spans="1:17" x14ac:dyDescent="0.3">
      <c r="A714" t="s">
        <v>385</v>
      </c>
      <c r="B714">
        <v>-35.510497000000001</v>
      </c>
      <c r="C714">
        <v>138.21676299999999</v>
      </c>
      <c r="D714" s="2">
        <v>46089</v>
      </c>
      <c r="E714" s="20">
        <v>0.66666666666666663</v>
      </c>
      <c r="I714">
        <v>278</v>
      </c>
      <c r="J714">
        <v>0</v>
      </c>
      <c r="L714">
        <v>444</v>
      </c>
      <c r="N714">
        <v>3944</v>
      </c>
      <c r="O714">
        <v>56</v>
      </c>
      <c r="P714">
        <v>4722</v>
      </c>
      <c r="Q714" t="s">
        <v>251</v>
      </c>
    </row>
    <row r="715" spans="1:17" x14ac:dyDescent="0.3">
      <c r="A715" t="s">
        <v>386</v>
      </c>
      <c r="B715">
        <v>-35.793973000000001</v>
      </c>
      <c r="C715">
        <v>137.852418</v>
      </c>
      <c r="D715" s="2">
        <v>46089</v>
      </c>
      <c r="E715" s="20">
        <v>0.52083333333333337</v>
      </c>
      <c r="F715">
        <v>0</v>
      </c>
      <c r="G715">
        <v>556</v>
      </c>
      <c r="H715">
        <v>2000</v>
      </c>
      <c r="I715">
        <v>444</v>
      </c>
      <c r="J715">
        <v>0</v>
      </c>
      <c r="K715">
        <v>444</v>
      </c>
      <c r="L715">
        <v>3889</v>
      </c>
      <c r="M715">
        <v>444</v>
      </c>
      <c r="N715">
        <v>0</v>
      </c>
      <c r="O715">
        <v>556</v>
      </c>
      <c r="P715">
        <v>8333</v>
      </c>
      <c r="Q715" t="s">
        <v>151</v>
      </c>
    </row>
    <row r="716" spans="1:17" x14ac:dyDescent="0.3">
      <c r="A716" t="s">
        <v>384</v>
      </c>
      <c r="B716">
        <v>-34.88823</v>
      </c>
      <c r="C716">
        <v>137.45353</v>
      </c>
      <c r="D716" s="2">
        <v>46090</v>
      </c>
      <c r="E716" s="20">
        <v>0.49305555555555558</v>
      </c>
      <c r="J716">
        <v>1722</v>
      </c>
      <c r="Q716" t="s">
        <v>265</v>
      </c>
    </row>
    <row r="717" spans="1:17" x14ac:dyDescent="0.3">
      <c r="A717" t="s">
        <v>94</v>
      </c>
      <c r="B717">
        <v>-35.58858</v>
      </c>
      <c r="C717">
        <v>138.60474600000001</v>
      </c>
      <c r="D717" s="2">
        <v>46090</v>
      </c>
      <c r="I717">
        <v>56</v>
      </c>
      <c r="J717">
        <v>0</v>
      </c>
      <c r="L717">
        <v>222</v>
      </c>
      <c r="N717">
        <v>278</v>
      </c>
      <c r="O717">
        <v>833</v>
      </c>
      <c r="P717">
        <v>1389</v>
      </c>
      <c r="Q717" t="s">
        <v>129</v>
      </c>
    </row>
    <row r="718" spans="1:17" x14ac:dyDescent="0.3">
      <c r="A718" t="s">
        <v>89</v>
      </c>
      <c r="B718">
        <v>-35.6048446</v>
      </c>
      <c r="C718">
        <v>138.59278499999999</v>
      </c>
      <c r="D718" s="2">
        <v>46090</v>
      </c>
      <c r="I718">
        <v>56</v>
      </c>
      <c r="J718">
        <v>0</v>
      </c>
      <c r="L718">
        <v>222</v>
      </c>
      <c r="N718">
        <v>389</v>
      </c>
      <c r="O718">
        <v>333</v>
      </c>
      <c r="P718">
        <v>1000</v>
      </c>
      <c r="Q718" t="s">
        <v>129</v>
      </c>
    </row>
    <row r="719" spans="1:17" x14ac:dyDescent="0.3">
      <c r="A719" t="s">
        <v>413</v>
      </c>
      <c r="B719">
        <v>-33.043101999999998</v>
      </c>
      <c r="C719">
        <v>137.59395699999999</v>
      </c>
      <c r="D719" s="2">
        <v>46090</v>
      </c>
      <c r="E719" s="20">
        <v>0.72916666666666663</v>
      </c>
      <c r="J719">
        <v>0</v>
      </c>
      <c r="L719">
        <v>1667</v>
      </c>
      <c r="O719">
        <v>222</v>
      </c>
      <c r="P719">
        <v>1889</v>
      </c>
      <c r="Q719" t="s">
        <v>347</v>
      </c>
    </row>
    <row r="720" spans="1:17" x14ac:dyDescent="0.3">
      <c r="A720" t="s">
        <v>360</v>
      </c>
      <c r="B720">
        <v>-35.878667100000001</v>
      </c>
      <c r="C720">
        <v>137.6963188</v>
      </c>
      <c r="D720" s="2">
        <v>46091</v>
      </c>
      <c r="E720" s="20">
        <v>0.66666666666666663</v>
      </c>
      <c r="F720">
        <v>0</v>
      </c>
      <c r="G720">
        <v>0</v>
      </c>
      <c r="H720">
        <v>222</v>
      </c>
      <c r="I720">
        <v>333</v>
      </c>
      <c r="J720">
        <v>222</v>
      </c>
      <c r="K720">
        <v>111</v>
      </c>
      <c r="L720">
        <v>1889</v>
      </c>
      <c r="M720">
        <v>0</v>
      </c>
      <c r="N720">
        <v>4111</v>
      </c>
      <c r="O720">
        <v>0</v>
      </c>
      <c r="P720">
        <v>6666</v>
      </c>
      <c r="Q720" t="s">
        <v>151</v>
      </c>
    </row>
    <row r="721" spans="1:17" x14ac:dyDescent="0.3">
      <c r="A721" t="s">
        <v>59</v>
      </c>
      <c r="B721">
        <v>-35.084850000000003</v>
      </c>
      <c r="C721">
        <v>137.74889999999999</v>
      </c>
      <c r="D721" s="2">
        <v>46092</v>
      </c>
      <c r="E721" s="20">
        <v>0.5625</v>
      </c>
      <c r="G721">
        <v>0</v>
      </c>
      <c r="I721">
        <v>56</v>
      </c>
      <c r="J721">
        <v>0</v>
      </c>
      <c r="L721">
        <v>0</v>
      </c>
      <c r="N721">
        <v>389</v>
      </c>
      <c r="P721">
        <v>445</v>
      </c>
      <c r="Q721" t="s">
        <v>149</v>
      </c>
    </row>
    <row r="722" spans="1:17" x14ac:dyDescent="0.3">
      <c r="A722" t="s">
        <v>388</v>
      </c>
      <c r="B722">
        <v>-34.842409000000004</v>
      </c>
      <c r="C722">
        <v>138.50364999999999</v>
      </c>
      <c r="D722" s="2">
        <v>46092</v>
      </c>
      <c r="E722" s="20">
        <v>0.71875</v>
      </c>
      <c r="G722">
        <v>0.36</v>
      </c>
      <c r="H722">
        <v>0.24</v>
      </c>
      <c r="I722">
        <v>0.36</v>
      </c>
      <c r="J722">
        <v>0</v>
      </c>
      <c r="L722">
        <v>476.64</v>
      </c>
      <c r="N722">
        <v>3.24</v>
      </c>
      <c r="O722">
        <v>0.48</v>
      </c>
      <c r="P722">
        <v>481.32</v>
      </c>
      <c r="Q722" t="s">
        <v>78</v>
      </c>
    </row>
    <row r="723" spans="1:17" x14ac:dyDescent="0.3">
      <c r="A723" t="s">
        <v>381</v>
      </c>
      <c r="B723">
        <v>-34.759169999999997</v>
      </c>
      <c r="C723">
        <v>137.47612000000001</v>
      </c>
      <c r="D723" s="2">
        <v>46092</v>
      </c>
      <c r="E723" s="20">
        <v>0.58333333333333337</v>
      </c>
      <c r="J723">
        <v>167</v>
      </c>
      <c r="Q723" t="s">
        <v>265</v>
      </c>
    </row>
    <row r="724" spans="1:17" x14ac:dyDescent="0.3">
      <c r="A724" t="s">
        <v>353</v>
      </c>
      <c r="B724">
        <v>-34.672490000000003</v>
      </c>
      <c r="C724">
        <v>137.49295000000001</v>
      </c>
      <c r="D724" s="2">
        <v>46092</v>
      </c>
      <c r="E724" s="20">
        <v>0.54166666666666663</v>
      </c>
      <c r="J724">
        <v>0</v>
      </c>
      <c r="Q724" t="s">
        <v>265</v>
      </c>
    </row>
    <row r="725" spans="1:17" x14ac:dyDescent="0.3">
      <c r="A725" t="s">
        <v>59</v>
      </c>
      <c r="B725">
        <v>-35.084850000000003</v>
      </c>
      <c r="C725">
        <v>137.74889999999999</v>
      </c>
      <c r="D725" s="2">
        <v>46092</v>
      </c>
      <c r="E725" s="20">
        <v>0.58333333333333337</v>
      </c>
      <c r="G725">
        <v>0</v>
      </c>
      <c r="I725">
        <v>56</v>
      </c>
      <c r="J725">
        <v>0</v>
      </c>
      <c r="L725">
        <v>0</v>
      </c>
      <c r="N725">
        <v>333</v>
      </c>
      <c r="P725">
        <v>389</v>
      </c>
      <c r="Q725" t="s">
        <v>149</v>
      </c>
    </row>
    <row r="726" spans="1:17" x14ac:dyDescent="0.3">
      <c r="A726" t="s">
        <v>391</v>
      </c>
      <c r="B726">
        <v>-35.786641000000003</v>
      </c>
      <c r="C726">
        <v>138.07153940000001</v>
      </c>
      <c r="D726" s="2">
        <v>46094</v>
      </c>
      <c r="E726" s="20">
        <v>0.58333333333333337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1889</v>
      </c>
      <c r="M726">
        <v>0</v>
      </c>
      <c r="N726">
        <v>2000</v>
      </c>
      <c r="O726">
        <v>111</v>
      </c>
      <c r="P726">
        <v>4000</v>
      </c>
      <c r="Q726" t="s">
        <v>151</v>
      </c>
    </row>
    <row r="727" spans="1:17" x14ac:dyDescent="0.3">
      <c r="A727" t="s">
        <v>221</v>
      </c>
      <c r="B727">
        <v>-35.638145999999999</v>
      </c>
      <c r="C727">
        <v>137.6249325</v>
      </c>
      <c r="D727" s="2">
        <v>46095</v>
      </c>
      <c r="E727" s="20">
        <v>0.45833333333333331</v>
      </c>
      <c r="F727">
        <v>0</v>
      </c>
      <c r="G727">
        <v>0</v>
      </c>
      <c r="H727">
        <v>333</v>
      </c>
      <c r="I727">
        <v>444</v>
      </c>
      <c r="J727">
        <v>0</v>
      </c>
      <c r="K727">
        <v>444</v>
      </c>
      <c r="L727">
        <v>11222</v>
      </c>
      <c r="M727">
        <v>333</v>
      </c>
      <c r="N727">
        <v>4111</v>
      </c>
      <c r="O727">
        <v>0</v>
      </c>
      <c r="P727">
        <v>16887</v>
      </c>
      <c r="Q727" t="s">
        <v>151</v>
      </c>
    </row>
    <row r="728" spans="1:17" x14ac:dyDescent="0.3">
      <c r="A728" t="s">
        <v>390</v>
      </c>
      <c r="B728">
        <v>-35.532783000000002</v>
      </c>
      <c r="C728">
        <v>138.68868499999999</v>
      </c>
      <c r="D728" s="2">
        <v>46096</v>
      </c>
      <c r="E728" s="20">
        <v>0.45833333333333331</v>
      </c>
      <c r="I728">
        <v>0.3</v>
      </c>
      <c r="J728">
        <v>0</v>
      </c>
      <c r="L728">
        <v>13.574999999999999</v>
      </c>
      <c r="N728">
        <v>0.75</v>
      </c>
      <c r="P728">
        <v>14.625</v>
      </c>
      <c r="Q728" t="s">
        <v>78</v>
      </c>
    </row>
    <row r="729" spans="1:17" x14ac:dyDescent="0.3">
      <c r="A729" t="s">
        <v>92</v>
      </c>
      <c r="B729">
        <v>-35.632150000000003</v>
      </c>
      <c r="C729">
        <v>138.48339999999999</v>
      </c>
      <c r="D729" s="2">
        <v>46096</v>
      </c>
      <c r="E729" s="20">
        <v>0.52083333333333337</v>
      </c>
      <c r="G729">
        <v>0.15</v>
      </c>
      <c r="H729">
        <v>0.1</v>
      </c>
      <c r="I729">
        <v>1.6</v>
      </c>
      <c r="J729">
        <v>0</v>
      </c>
      <c r="L729">
        <v>18.600000000000001</v>
      </c>
      <c r="O729">
        <v>0.1</v>
      </c>
      <c r="P729">
        <v>20.550000000000004</v>
      </c>
      <c r="Q729" t="s">
        <v>78</v>
      </c>
    </row>
    <row r="730" spans="1:17" x14ac:dyDescent="0.3">
      <c r="A730" t="s">
        <v>392</v>
      </c>
      <c r="B730">
        <v>-35.521971999999998</v>
      </c>
      <c r="C730">
        <v>138.18543600000001</v>
      </c>
      <c r="D730" s="2">
        <v>46096</v>
      </c>
      <c r="E730" s="20">
        <v>0.41666666666666669</v>
      </c>
      <c r="F730">
        <v>0</v>
      </c>
      <c r="I730">
        <v>167</v>
      </c>
      <c r="J730">
        <v>0</v>
      </c>
      <c r="L730">
        <v>222</v>
      </c>
      <c r="N730">
        <v>278</v>
      </c>
      <c r="O730">
        <v>722</v>
      </c>
      <c r="P730">
        <v>1389</v>
      </c>
      <c r="Q730" t="s">
        <v>251</v>
      </c>
    </row>
    <row r="731" spans="1:17" x14ac:dyDescent="0.3">
      <c r="A731" t="s">
        <v>86</v>
      </c>
      <c r="B731">
        <v>-35.540277000000003</v>
      </c>
      <c r="C731">
        <v>138.66416599999999</v>
      </c>
      <c r="D731" s="2">
        <v>46096</v>
      </c>
      <c r="G731">
        <v>167</v>
      </c>
      <c r="H731">
        <v>167</v>
      </c>
      <c r="I731">
        <v>222</v>
      </c>
      <c r="J731">
        <v>0</v>
      </c>
      <c r="L731">
        <v>1500</v>
      </c>
      <c r="N731">
        <v>222</v>
      </c>
      <c r="O731">
        <v>389</v>
      </c>
      <c r="P731">
        <v>2667</v>
      </c>
      <c r="Q731" t="s">
        <v>129</v>
      </c>
    </row>
    <row r="732" spans="1:17" x14ac:dyDescent="0.3">
      <c r="A732" t="s">
        <v>100</v>
      </c>
      <c r="B732">
        <v>-35.536745000000003</v>
      </c>
      <c r="C732">
        <v>138.6913744</v>
      </c>
      <c r="D732" s="2">
        <v>46096</v>
      </c>
      <c r="G732">
        <v>56</v>
      </c>
      <c r="H732">
        <v>167</v>
      </c>
      <c r="I732">
        <v>167</v>
      </c>
      <c r="J732">
        <v>0</v>
      </c>
      <c r="L732">
        <v>2721</v>
      </c>
      <c r="O732">
        <v>3555</v>
      </c>
      <c r="P732">
        <v>6666</v>
      </c>
      <c r="Q732" t="s">
        <v>129</v>
      </c>
    </row>
    <row r="733" spans="1:17" x14ac:dyDescent="0.3">
      <c r="A733" t="s">
        <v>395</v>
      </c>
      <c r="B733">
        <v>-35.557299999999998</v>
      </c>
      <c r="C733">
        <v>138.66200000000001</v>
      </c>
      <c r="D733" s="2">
        <v>46096</v>
      </c>
      <c r="G733">
        <v>222</v>
      </c>
      <c r="H733">
        <v>167</v>
      </c>
      <c r="I733">
        <v>446</v>
      </c>
      <c r="J733">
        <v>0</v>
      </c>
      <c r="L733">
        <v>833</v>
      </c>
      <c r="N733">
        <v>556</v>
      </c>
      <c r="O733">
        <v>1111</v>
      </c>
      <c r="P733">
        <v>3335</v>
      </c>
      <c r="Q733" t="s">
        <v>129</v>
      </c>
    </row>
    <row r="734" spans="1:17" x14ac:dyDescent="0.3">
      <c r="A734" t="s">
        <v>87</v>
      </c>
      <c r="B734">
        <v>-35.573300000000003</v>
      </c>
      <c r="C734">
        <v>138.64250000000001</v>
      </c>
      <c r="D734" s="2">
        <v>46096</v>
      </c>
      <c r="G734">
        <v>56</v>
      </c>
      <c r="H734">
        <v>56</v>
      </c>
      <c r="I734">
        <v>556</v>
      </c>
      <c r="J734">
        <v>56</v>
      </c>
      <c r="L734">
        <v>2167</v>
      </c>
      <c r="O734">
        <v>7056</v>
      </c>
      <c r="P734">
        <v>9891</v>
      </c>
      <c r="Q734" t="s">
        <v>129</v>
      </c>
    </row>
    <row r="735" spans="1:17" x14ac:dyDescent="0.3">
      <c r="A735" t="s">
        <v>88</v>
      </c>
      <c r="B735">
        <v>-35.581124000000003</v>
      </c>
      <c r="C735">
        <v>138.60879700000001</v>
      </c>
      <c r="D735" s="2">
        <v>46096</v>
      </c>
      <c r="G735">
        <v>111</v>
      </c>
      <c r="H735">
        <v>56</v>
      </c>
      <c r="I735">
        <v>56</v>
      </c>
      <c r="J735">
        <v>0</v>
      </c>
      <c r="L735">
        <v>222</v>
      </c>
      <c r="N735">
        <v>111</v>
      </c>
      <c r="O735">
        <v>333</v>
      </c>
      <c r="P735">
        <v>889</v>
      </c>
      <c r="Q735" t="s">
        <v>129</v>
      </c>
    </row>
    <row r="736" spans="1:17" x14ac:dyDescent="0.3">
      <c r="A736" t="s">
        <v>89</v>
      </c>
      <c r="B736">
        <v>-35.6048446</v>
      </c>
      <c r="C736">
        <v>138.59278499999999</v>
      </c>
      <c r="D736" s="2">
        <v>46096</v>
      </c>
      <c r="H736">
        <v>389</v>
      </c>
      <c r="I736">
        <v>222</v>
      </c>
      <c r="J736">
        <v>0</v>
      </c>
      <c r="L736">
        <v>111</v>
      </c>
      <c r="N736">
        <v>500</v>
      </c>
      <c r="O736">
        <v>1111</v>
      </c>
      <c r="P736">
        <v>2333</v>
      </c>
      <c r="Q736" t="s">
        <v>129</v>
      </c>
    </row>
    <row r="737" spans="1:17" x14ac:dyDescent="0.3">
      <c r="A737" t="s">
        <v>375</v>
      </c>
      <c r="B737">
        <v>-35.612285999999997</v>
      </c>
      <c r="C737">
        <v>138.564302</v>
      </c>
      <c r="D737" s="2">
        <v>46096</v>
      </c>
      <c r="H737">
        <v>56</v>
      </c>
      <c r="I737">
        <v>56</v>
      </c>
      <c r="J737">
        <v>0</v>
      </c>
      <c r="L737">
        <v>333</v>
      </c>
      <c r="N737">
        <v>222</v>
      </c>
      <c r="O737">
        <v>389</v>
      </c>
      <c r="P737">
        <v>1056</v>
      </c>
      <c r="Q737" t="s">
        <v>129</v>
      </c>
    </row>
    <row r="738" spans="1:17" x14ac:dyDescent="0.3">
      <c r="A738" t="s">
        <v>298</v>
      </c>
      <c r="B738">
        <v>-35.61</v>
      </c>
      <c r="C738">
        <v>138.5925</v>
      </c>
      <c r="D738" s="2">
        <v>46096</v>
      </c>
      <c r="I738">
        <v>444</v>
      </c>
      <c r="J738">
        <v>0</v>
      </c>
      <c r="L738">
        <v>278</v>
      </c>
      <c r="N738">
        <v>167</v>
      </c>
      <c r="O738">
        <v>612</v>
      </c>
      <c r="P738">
        <v>1501</v>
      </c>
      <c r="Q738" t="s">
        <v>129</v>
      </c>
    </row>
    <row r="739" spans="1:17" x14ac:dyDescent="0.3">
      <c r="A739" t="s">
        <v>389</v>
      </c>
      <c r="B739">
        <v>-34.958151000000001</v>
      </c>
      <c r="C739">
        <v>138.503987</v>
      </c>
      <c r="D739" s="2">
        <v>46097</v>
      </c>
      <c r="E739" s="20">
        <v>0.36458333333333331</v>
      </c>
      <c r="I739">
        <v>26.46</v>
      </c>
      <c r="J739">
        <v>0</v>
      </c>
      <c r="L739">
        <v>0.96</v>
      </c>
      <c r="N739">
        <v>0.12</v>
      </c>
      <c r="P739">
        <v>27.540000000000003</v>
      </c>
      <c r="Q739" t="s">
        <v>78</v>
      </c>
    </row>
    <row r="740" spans="1:17" x14ac:dyDescent="0.3">
      <c r="A740" t="s">
        <v>349</v>
      </c>
      <c r="B740">
        <v>-34.860666999999999</v>
      </c>
      <c r="C740">
        <v>138.490938</v>
      </c>
      <c r="D740" s="2">
        <v>46097</v>
      </c>
      <c r="E740" s="20">
        <v>0.35416666666666669</v>
      </c>
      <c r="I740">
        <v>0.45</v>
      </c>
      <c r="J740">
        <v>0</v>
      </c>
      <c r="L740">
        <v>186.3</v>
      </c>
      <c r="N740">
        <v>0.15</v>
      </c>
      <c r="O740">
        <v>0.3</v>
      </c>
      <c r="P740">
        <v>187.20000000000002</v>
      </c>
      <c r="Q740" t="s">
        <v>78</v>
      </c>
    </row>
    <row r="741" spans="1:17" x14ac:dyDescent="0.3">
      <c r="A741" t="s">
        <v>312</v>
      </c>
      <c r="B741">
        <v>-35.445188000000002</v>
      </c>
      <c r="C741">
        <v>138.307266</v>
      </c>
      <c r="D741" s="2">
        <v>46097</v>
      </c>
      <c r="E741" s="20">
        <v>0.375</v>
      </c>
      <c r="I741">
        <v>111</v>
      </c>
      <c r="J741">
        <v>0</v>
      </c>
      <c r="L741">
        <v>167</v>
      </c>
      <c r="N741">
        <v>167</v>
      </c>
      <c r="O741">
        <v>1611</v>
      </c>
      <c r="P741">
        <v>2056</v>
      </c>
      <c r="Q741" t="s">
        <v>350</v>
      </c>
    </row>
    <row r="742" spans="1:17" x14ac:dyDescent="0.3">
      <c r="A742" t="s">
        <v>381</v>
      </c>
      <c r="B742">
        <v>-34.759169999999997</v>
      </c>
      <c r="C742">
        <v>137.47612000000001</v>
      </c>
      <c r="D742" s="2">
        <v>46097</v>
      </c>
      <c r="E742" s="20">
        <v>0.58333333333333337</v>
      </c>
      <c r="J742">
        <v>0</v>
      </c>
      <c r="Q742" t="s">
        <v>265</v>
      </c>
    </row>
    <row r="743" spans="1:17" x14ac:dyDescent="0.3">
      <c r="A743" t="s">
        <v>387</v>
      </c>
      <c r="B743">
        <v>-35.739091000000002</v>
      </c>
      <c r="C743">
        <v>137.67788400000001</v>
      </c>
      <c r="D743" s="2">
        <v>46098</v>
      </c>
      <c r="E743" s="20">
        <v>17.3</v>
      </c>
      <c r="F743">
        <v>0</v>
      </c>
      <c r="G743">
        <v>0</v>
      </c>
      <c r="H743">
        <v>0</v>
      </c>
      <c r="I743">
        <v>111</v>
      </c>
      <c r="J743">
        <v>0</v>
      </c>
      <c r="K743">
        <v>111</v>
      </c>
      <c r="L743">
        <v>3778</v>
      </c>
      <c r="M743">
        <v>111</v>
      </c>
      <c r="N743">
        <v>2000</v>
      </c>
      <c r="O743">
        <v>222</v>
      </c>
      <c r="P743">
        <v>6333</v>
      </c>
      <c r="Q743" t="s">
        <v>151</v>
      </c>
    </row>
    <row r="744" spans="1:17" x14ac:dyDescent="0.3">
      <c r="A744" t="s">
        <v>376</v>
      </c>
      <c r="B744">
        <v>-35.853555700000001</v>
      </c>
      <c r="C744">
        <v>137.74248499999999</v>
      </c>
      <c r="D744" s="2">
        <v>46098</v>
      </c>
      <c r="E744" s="20">
        <v>0.66666666666666663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222</v>
      </c>
      <c r="M744">
        <v>0</v>
      </c>
      <c r="N744">
        <v>0</v>
      </c>
      <c r="O744">
        <v>0</v>
      </c>
      <c r="P744">
        <v>222</v>
      </c>
      <c r="Q744" t="s">
        <v>151</v>
      </c>
    </row>
    <row r="745" spans="1:17" x14ac:dyDescent="0.3">
      <c r="A745" t="s">
        <v>393</v>
      </c>
      <c r="B745">
        <v>-34.323770000000003</v>
      </c>
      <c r="C745">
        <v>137.49154999999999</v>
      </c>
      <c r="D745" s="2">
        <v>46098</v>
      </c>
      <c r="E745" s="20">
        <v>0.69444444444444442</v>
      </c>
      <c r="J745">
        <v>0</v>
      </c>
      <c r="Q745" t="s">
        <v>265</v>
      </c>
    </row>
    <row r="746" spans="1:17" x14ac:dyDescent="0.3">
      <c r="A746" t="s">
        <v>357</v>
      </c>
      <c r="B746">
        <v>-34.494970000000002</v>
      </c>
      <c r="C746">
        <v>137.48038</v>
      </c>
      <c r="D746" s="2">
        <v>46098</v>
      </c>
      <c r="E746" s="20">
        <v>0.54861111111111116</v>
      </c>
      <c r="J746">
        <v>0</v>
      </c>
      <c r="Q746" t="s">
        <v>265</v>
      </c>
    </row>
    <row r="747" spans="1:17" x14ac:dyDescent="0.3">
      <c r="A747" t="s">
        <v>301</v>
      </c>
      <c r="B747">
        <v>-34.899749999999997</v>
      </c>
      <c r="C747">
        <v>137.45174</v>
      </c>
      <c r="D747" s="2">
        <v>46098</v>
      </c>
      <c r="E747" s="20">
        <v>0.6875</v>
      </c>
      <c r="J747">
        <v>111</v>
      </c>
      <c r="Q747" t="s">
        <v>265</v>
      </c>
    </row>
    <row r="748" spans="1:17" x14ac:dyDescent="0.3">
      <c r="A748" t="s">
        <v>397</v>
      </c>
      <c r="B748">
        <v>-34.075042000000003</v>
      </c>
      <c r="C748">
        <v>137.54297600000001</v>
      </c>
      <c r="D748" s="2">
        <v>46098</v>
      </c>
      <c r="J748">
        <v>0</v>
      </c>
      <c r="L748">
        <v>111</v>
      </c>
      <c r="O748">
        <v>56</v>
      </c>
      <c r="P748">
        <v>167</v>
      </c>
      <c r="Q748" t="s">
        <v>265</v>
      </c>
    </row>
    <row r="749" spans="1:17" x14ac:dyDescent="0.3">
      <c r="A749" t="s">
        <v>229</v>
      </c>
      <c r="B749">
        <v>-35.081918000000002</v>
      </c>
      <c r="C749">
        <v>137.74822499999999</v>
      </c>
      <c r="D749" s="2">
        <v>46099</v>
      </c>
      <c r="E749" s="20">
        <v>0.82291666666666663</v>
      </c>
      <c r="I749">
        <v>111</v>
      </c>
      <c r="J749">
        <v>0</v>
      </c>
      <c r="L749">
        <v>500</v>
      </c>
      <c r="N749">
        <v>556</v>
      </c>
      <c r="O749">
        <v>222</v>
      </c>
      <c r="P749">
        <v>1389</v>
      </c>
      <c r="Q749" t="s">
        <v>218</v>
      </c>
    </row>
    <row r="750" spans="1:17" x14ac:dyDescent="0.3">
      <c r="A750" t="s">
        <v>229</v>
      </c>
      <c r="B750">
        <v>-35.081918000000002</v>
      </c>
      <c r="C750">
        <v>137.74822499999999</v>
      </c>
      <c r="D750" s="2">
        <v>46099</v>
      </c>
      <c r="E750" s="20">
        <v>0.82291666666666663</v>
      </c>
      <c r="I750">
        <v>111</v>
      </c>
      <c r="J750">
        <v>0</v>
      </c>
      <c r="L750">
        <v>500</v>
      </c>
      <c r="N750">
        <v>556</v>
      </c>
      <c r="O750">
        <v>222</v>
      </c>
      <c r="P750">
        <v>1389</v>
      </c>
      <c r="Q750" t="s">
        <v>218</v>
      </c>
    </row>
    <row r="751" spans="1:17" x14ac:dyDescent="0.3">
      <c r="A751" t="s">
        <v>374</v>
      </c>
      <c r="B751">
        <v>-34.902070808541197</v>
      </c>
      <c r="C751">
        <v>137.79925776072</v>
      </c>
      <c r="D751" s="2">
        <v>46101</v>
      </c>
      <c r="E751" s="20">
        <v>0.71527777777777779</v>
      </c>
      <c r="I751">
        <v>333</v>
      </c>
      <c r="J751">
        <v>0</v>
      </c>
      <c r="L751">
        <v>56</v>
      </c>
      <c r="O751">
        <v>111</v>
      </c>
      <c r="P751">
        <v>500</v>
      </c>
      <c r="Q751" t="s">
        <v>365</v>
      </c>
    </row>
    <row r="752" spans="1:17" x14ac:dyDescent="0.3">
      <c r="A752" t="s">
        <v>376</v>
      </c>
      <c r="B752">
        <v>-35.853555700000001</v>
      </c>
      <c r="C752">
        <v>137.74248499999999</v>
      </c>
      <c r="D752" s="2">
        <v>46101</v>
      </c>
      <c r="E752" s="20">
        <v>0.45833333333333331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222</v>
      </c>
      <c r="L752">
        <v>333</v>
      </c>
      <c r="M752">
        <v>0</v>
      </c>
      <c r="N752">
        <v>0</v>
      </c>
      <c r="O752">
        <v>0</v>
      </c>
      <c r="P752">
        <v>555</v>
      </c>
      <c r="Q752" t="s">
        <v>151</v>
      </c>
    </row>
    <row r="753" spans="1:17" x14ac:dyDescent="0.3">
      <c r="A753" t="s">
        <v>301</v>
      </c>
      <c r="B753">
        <v>-34.899749999999997</v>
      </c>
      <c r="C753">
        <v>137.45174</v>
      </c>
      <c r="D753" s="2">
        <v>46101</v>
      </c>
      <c r="E753" s="20">
        <v>0.65625</v>
      </c>
      <c r="J753">
        <v>111</v>
      </c>
      <c r="Q753" t="s">
        <v>265</v>
      </c>
    </row>
    <row r="754" spans="1:17" x14ac:dyDescent="0.3">
      <c r="A754" t="s">
        <v>353</v>
      </c>
      <c r="B754">
        <v>-34.672499999999999</v>
      </c>
      <c r="C754">
        <v>137.49298999999999</v>
      </c>
      <c r="D754" s="2">
        <v>46102</v>
      </c>
      <c r="J754">
        <v>0</v>
      </c>
      <c r="Q754" t="s">
        <v>265</v>
      </c>
    </row>
    <row r="755" spans="1:17" x14ac:dyDescent="0.3">
      <c r="A755" t="s">
        <v>79</v>
      </c>
      <c r="B755">
        <v>-34.804662999999998</v>
      </c>
      <c r="C755">
        <v>138.540223</v>
      </c>
      <c r="D755" s="2">
        <v>46102</v>
      </c>
      <c r="E755" s="20">
        <v>0.47916666666666669</v>
      </c>
      <c r="I755">
        <v>9.3000000000000007</v>
      </c>
      <c r="J755">
        <v>0</v>
      </c>
      <c r="L755">
        <v>43.35</v>
      </c>
      <c r="P755">
        <v>52.650000000000006</v>
      </c>
      <c r="Q755" t="s">
        <v>78</v>
      </c>
    </row>
    <row r="756" spans="1:17" x14ac:dyDescent="0.3">
      <c r="A756" t="s">
        <v>85</v>
      </c>
      <c r="B756">
        <v>-34.873964000000001</v>
      </c>
      <c r="C756">
        <v>138.488134</v>
      </c>
      <c r="D756" s="2">
        <v>46102</v>
      </c>
      <c r="E756" s="20">
        <v>0.45347222222222222</v>
      </c>
      <c r="I756">
        <v>5.85</v>
      </c>
      <c r="J756">
        <v>0</v>
      </c>
      <c r="L756">
        <v>14.7</v>
      </c>
      <c r="O756">
        <v>6.75</v>
      </c>
      <c r="P756">
        <v>27.299999999999997</v>
      </c>
      <c r="Q756" t="s">
        <v>78</v>
      </c>
    </row>
    <row r="757" spans="1:17" x14ac:dyDescent="0.3">
      <c r="A757" t="s">
        <v>267</v>
      </c>
      <c r="B757">
        <v>-34.824044999999998</v>
      </c>
      <c r="C757">
        <v>138.48377600000001</v>
      </c>
      <c r="D757" s="2">
        <v>46102</v>
      </c>
      <c r="E757" s="20">
        <v>0.46180555555555558</v>
      </c>
      <c r="G757">
        <v>0.1</v>
      </c>
      <c r="I757">
        <v>3.5</v>
      </c>
      <c r="J757">
        <v>0</v>
      </c>
      <c r="L757">
        <v>11.8</v>
      </c>
      <c r="P757">
        <v>15.4</v>
      </c>
      <c r="Q757" t="s">
        <v>78</v>
      </c>
    </row>
    <row r="758" spans="1:17" x14ac:dyDescent="0.3">
      <c r="A758" t="s">
        <v>389</v>
      </c>
      <c r="B758">
        <v>-34.958151000000001</v>
      </c>
      <c r="C758">
        <v>138.503987</v>
      </c>
      <c r="D758" s="2">
        <v>46102</v>
      </c>
      <c r="E758" s="20">
        <v>0.43402777777777779</v>
      </c>
      <c r="H758">
        <v>0.3</v>
      </c>
      <c r="I758">
        <v>1.65</v>
      </c>
      <c r="J758">
        <v>0</v>
      </c>
      <c r="L758">
        <v>35.424999999999997</v>
      </c>
      <c r="P758">
        <v>37.375</v>
      </c>
      <c r="Q758" t="s">
        <v>78</v>
      </c>
    </row>
    <row r="759" spans="1:17" x14ac:dyDescent="0.3">
      <c r="A759" t="s">
        <v>179</v>
      </c>
      <c r="B759">
        <v>-35.078539999999997</v>
      </c>
      <c r="C759">
        <v>138.49587</v>
      </c>
      <c r="D759" s="2">
        <v>46102</v>
      </c>
      <c r="E759" s="20">
        <v>0.41666666666666669</v>
      </c>
      <c r="I759">
        <v>0.1</v>
      </c>
      <c r="J759">
        <v>0</v>
      </c>
      <c r="L759">
        <v>2.2999999999999998</v>
      </c>
      <c r="P759">
        <v>2.4</v>
      </c>
      <c r="Q759" t="s">
        <v>78</v>
      </c>
    </row>
    <row r="760" spans="1:17" x14ac:dyDescent="0.3">
      <c r="A760" t="s">
        <v>209</v>
      </c>
      <c r="B760">
        <v>-35.739091000000002</v>
      </c>
      <c r="C760">
        <v>137.67788400000001</v>
      </c>
      <c r="D760" s="2">
        <v>46103</v>
      </c>
      <c r="E760" s="20">
        <v>0.6875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111</v>
      </c>
      <c r="L760">
        <v>0</v>
      </c>
      <c r="M760">
        <v>555</v>
      </c>
      <c r="N760">
        <v>0</v>
      </c>
      <c r="O760">
        <v>0</v>
      </c>
      <c r="P760">
        <v>666</v>
      </c>
      <c r="Q760" t="s">
        <v>151</v>
      </c>
    </row>
    <row r="761" spans="1:17" x14ac:dyDescent="0.3">
      <c r="A761" t="s">
        <v>398</v>
      </c>
      <c r="B761">
        <v>-34.903120000000001</v>
      </c>
      <c r="C761">
        <v>137.44969</v>
      </c>
      <c r="D761" s="2">
        <v>46103</v>
      </c>
      <c r="E761" s="20">
        <v>0.62847222222222221</v>
      </c>
      <c r="I761">
        <v>444</v>
      </c>
      <c r="J761">
        <v>0</v>
      </c>
      <c r="L761">
        <v>56</v>
      </c>
      <c r="P761">
        <v>500</v>
      </c>
      <c r="Q761" t="s">
        <v>265</v>
      </c>
    </row>
    <row r="762" spans="1:17" x14ac:dyDescent="0.3">
      <c r="A762" t="s">
        <v>230</v>
      </c>
      <c r="B762">
        <v>-35.054707999999998</v>
      </c>
      <c r="C762">
        <v>137.725145</v>
      </c>
      <c r="D762" s="2">
        <v>46103</v>
      </c>
      <c r="E762" s="20">
        <v>0.63541666666666663</v>
      </c>
      <c r="I762">
        <v>66500</v>
      </c>
      <c r="J762">
        <v>56</v>
      </c>
      <c r="L762">
        <v>3000</v>
      </c>
      <c r="O762">
        <v>667</v>
      </c>
      <c r="P762">
        <v>70167</v>
      </c>
      <c r="Q762" t="s">
        <v>218</v>
      </c>
    </row>
    <row r="763" spans="1:17" x14ac:dyDescent="0.3">
      <c r="A763" t="s">
        <v>399</v>
      </c>
      <c r="B763">
        <v>-34.903466000000002</v>
      </c>
      <c r="C763">
        <v>137.79804799999999</v>
      </c>
      <c r="D763" s="2">
        <v>46103</v>
      </c>
      <c r="E763" s="20">
        <v>0.70833333333333337</v>
      </c>
      <c r="I763">
        <v>389</v>
      </c>
      <c r="J763">
        <v>0</v>
      </c>
      <c r="L763">
        <v>500</v>
      </c>
      <c r="N763">
        <v>389</v>
      </c>
      <c r="O763">
        <v>56</v>
      </c>
      <c r="P763">
        <v>1333</v>
      </c>
      <c r="Q763" t="s">
        <v>218</v>
      </c>
    </row>
    <row r="764" spans="1:17" x14ac:dyDescent="0.3">
      <c r="A764" t="s">
        <v>400</v>
      </c>
      <c r="B764">
        <v>-34.765996000000001</v>
      </c>
      <c r="C764">
        <v>137.86211299999999</v>
      </c>
      <c r="D764" s="2">
        <v>46103</v>
      </c>
      <c r="E764" s="20">
        <v>0.67708333333333337</v>
      </c>
      <c r="I764">
        <v>0</v>
      </c>
      <c r="J764">
        <v>0</v>
      </c>
      <c r="L764">
        <v>222</v>
      </c>
      <c r="N764">
        <v>389</v>
      </c>
      <c r="O764">
        <v>56</v>
      </c>
      <c r="P764">
        <v>667</v>
      </c>
      <c r="Q764" t="s">
        <v>218</v>
      </c>
    </row>
    <row r="765" spans="1:17" x14ac:dyDescent="0.3">
      <c r="A765" t="s">
        <v>401</v>
      </c>
      <c r="B765">
        <v>-35.510497000000001</v>
      </c>
      <c r="C765">
        <v>138.21676299999999</v>
      </c>
      <c r="D765" s="2">
        <v>46103</v>
      </c>
      <c r="I765">
        <v>167</v>
      </c>
      <c r="J765">
        <v>0</v>
      </c>
      <c r="L765">
        <v>56</v>
      </c>
      <c r="N765">
        <v>1389</v>
      </c>
      <c r="O765">
        <v>722</v>
      </c>
      <c r="P765">
        <v>2334</v>
      </c>
      <c r="Q765" t="s">
        <v>251</v>
      </c>
    </row>
    <row r="766" spans="1:17" x14ac:dyDescent="0.3">
      <c r="A766" t="s">
        <v>396</v>
      </c>
      <c r="B766">
        <v>-35.793973000000001</v>
      </c>
      <c r="C766">
        <v>137.852418</v>
      </c>
      <c r="D766" s="2">
        <v>46104</v>
      </c>
      <c r="E766" s="20">
        <v>0.45833333333333331</v>
      </c>
      <c r="F766">
        <v>0</v>
      </c>
      <c r="G766">
        <v>0</v>
      </c>
      <c r="H766">
        <v>1333</v>
      </c>
      <c r="I766">
        <v>1000</v>
      </c>
      <c r="J766">
        <v>0</v>
      </c>
      <c r="K766">
        <v>0</v>
      </c>
      <c r="L766">
        <v>3778</v>
      </c>
      <c r="M766">
        <v>333</v>
      </c>
      <c r="N766">
        <v>333</v>
      </c>
      <c r="O766">
        <v>556</v>
      </c>
      <c r="P766">
        <v>7333</v>
      </c>
      <c r="Q766" t="s">
        <v>151</v>
      </c>
    </row>
    <row r="767" spans="1:17" x14ac:dyDescent="0.3">
      <c r="A767" t="s">
        <v>360</v>
      </c>
      <c r="B767">
        <v>-35.878667100000001</v>
      </c>
      <c r="C767">
        <v>137.6963188</v>
      </c>
      <c r="D767" s="2">
        <v>46104</v>
      </c>
      <c r="E767" s="20">
        <v>0.66666666666666663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151</v>
      </c>
    </row>
    <row r="768" spans="1:17" x14ac:dyDescent="0.3">
      <c r="A768" t="s">
        <v>312</v>
      </c>
      <c r="B768">
        <v>-35.445188000000002</v>
      </c>
      <c r="C768">
        <v>138.307266</v>
      </c>
      <c r="D768" s="2">
        <v>46104</v>
      </c>
      <c r="I768">
        <v>111</v>
      </c>
      <c r="J768">
        <v>0</v>
      </c>
      <c r="L768">
        <v>0</v>
      </c>
      <c r="N768">
        <v>167</v>
      </c>
      <c r="O768">
        <v>1444</v>
      </c>
      <c r="P768">
        <v>1722</v>
      </c>
      <c r="Q768" t="s">
        <v>402</v>
      </c>
    </row>
    <row r="769" spans="1:17" x14ac:dyDescent="0.3">
      <c r="A769" t="s">
        <v>381</v>
      </c>
      <c r="B769">
        <v>-34.759169999999997</v>
      </c>
      <c r="C769">
        <v>137.47612000000001</v>
      </c>
      <c r="D769" s="2">
        <v>46104</v>
      </c>
      <c r="E769" s="20">
        <v>0.58333333333333337</v>
      </c>
      <c r="I769">
        <v>111</v>
      </c>
      <c r="J769">
        <v>0</v>
      </c>
      <c r="L769">
        <v>56</v>
      </c>
      <c r="P769">
        <v>167</v>
      </c>
      <c r="Q769" t="s">
        <v>265</v>
      </c>
    </row>
    <row r="770" spans="1:17" x14ac:dyDescent="0.3">
      <c r="A770" t="s">
        <v>312</v>
      </c>
      <c r="B770">
        <v>-35.445186</v>
      </c>
      <c r="C770">
        <v>138.307424</v>
      </c>
      <c r="D770" s="2">
        <v>46104</v>
      </c>
      <c r="E770" s="20">
        <v>0.38541666666666669</v>
      </c>
      <c r="I770">
        <v>0</v>
      </c>
      <c r="J770">
        <v>0</v>
      </c>
      <c r="L770">
        <v>56</v>
      </c>
      <c r="N770">
        <v>56</v>
      </c>
      <c r="O770">
        <v>778</v>
      </c>
      <c r="P770">
        <v>890</v>
      </c>
      <c r="Q770" t="s">
        <v>402</v>
      </c>
    </row>
    <row r="771" spans="1:17" x14ac:dyDescent="0.3">
      <c r="A771" t="s">
        <v>353</v>
      </c>
      <c r="B771">
        <v>-34.672499999999999</v>
      </c>
      <c r="C771">
        <v>137.49298999999999</v>
      </c>
      <c r="D771" s="2">
        <v>46106</v>
      </c>
      <c r="E771" s="20">
        <v>0.57291666666666663</v>
      </c>
      <c r="I771">
        <v>56</v>
      </c>
      <c r="J771">
        <v>0</v>
      </c>
      <c r="L771">
        <v>111</v>
      </c>
      <c r="O771">
        <v>56</v>
      </c>
      <c r="P771">
        <v>223</v>
      </c>
      <c r="Q771" t="s">
        <v>265</v>
      </c>
    </row>
    <row r="772" spans="1:17" x14ac:dyDescent="0.3">
      <c r="A772" t="s">
        <v>407</v>
      </c>
      <c r="B772">
        <v>-35.557499999999997</v>
      </c>
      <c r="C772">
        <v>138.62200000000001</v>
      </c>
      <c r="D772" s="2">
        <v>46106</v>
      </c>
      <c r="G772">
        <v>56</v>
      </c>
      <c r="H772">
        <v>56</v>
      </c>
      <c r="I772">
        <v>556</v>
      </c>
      <c r="J772">
        <v>0</v>
      </c>
      <c r="L772">
        <v>2111</v>
      </c>
      <c r="N772">
        <v>444</v>
      </c>
      <c r="O772">
        <v>2667</v>
      </c>
      <c r="P772">
        <v>5890</v>
      </c>
      <c r="Q772" t="s">
        <v>129</v>
      </c>
    </row>
    <row r="773" spans="1:17" x14ac:dyDescent="0.3">
      <c r="A773" t="s">
        <v>349</v>
      </c>
      <c r="B773">
        <v>-34.860666999999999</v>
      </c>
      <c r="C773">
        <v>138.490938</v>
      </c>
      <c r="D773" s="2">
        <v>46108</v>
      </c>
      <c r="E773" s="20">
        <v>0.46180555555555558</v>
      </c>
      <c r="I773">
        <v>2.4</v>
      </c>
      <c r="J773">
        <v>0</v>
      </c>
      <c r="L773">
        <v>5.625</v>
      </c>
      <c r="M773">
        <v>0.15</v>
      </c>
      <c r="N773">
        <v>7.4999999999999997E-2</v>
      </c>
      <c r="O773">
        <v>0.15</v>
      </c>
      <c r="P773">
        <v>8.4</v>
      </c>
      <c r="Q773" t="s">
        <v>78</v>
      </c>
    </row>
    <row r="774" spans="1:17" x14ac:dyDescent="0.3">
      <c r="A774" t="s">
        <v>85</v>
      </c>
      <c r="B774">
        <v>-34.873964000000001</v>
      </c>
      <c r="C774">
        <v>138.488134</v>
      </c>
      <c r="D774" s="2">
        <v>46108</v>
      </c>
      <c r="E774" s="20">
        <v>0.45833333333333331</v>
      </c>
      <c r="I774">
        <v>3.9</v>
      </c>
      <c r="J774">
        <v>0</v>
      </c>
      <c r="L774">
        <v>10.199999999999999</v>
      </c>
      <c r="O774">
        <v>0.22500000000000001</v>
      </c>
      <c r="P774">
        <v>14.324999999999999</v>
      </c>
      <c r="Q774" t="s">
        <v>78</v>
      </c>
    </row>
    <row r="775" spans="1:17" x14ac:dyDescent="0.3">
      <c r="A775" t="s">
        <v>79</v>
      </c>
      <c r="B775">
        <v>-34.804662999999998</v>
      </c>
      <c r="C775">
        <v>138.540223</v>
      </c>
      <c r="D775" s="2">
        <v>46108</v>
      </c>
      <c r="E775" s="20">
        <v>0.49305555555555558</v>
      </c>
      <c r="I775">
        <v>2.25</v>
      </c>
      <c r="J775">
        <v>0</v>
      </c>
      <c r="L775">
        <v>37.950000000000003</v>
      </c>
      <c r="P775">
        <v>40.200000000000003</v>
      </c>
      <c r="Q775" t="s">
        <v>78</v>
      </c>
    </row>
    <row r="776" spans="1:17" x14ac:dyDescent="0.3">
      <c r="A776" t="s">
        <v>267</v>
      </c>
      <c r="B776">
        <v>-34.824044999999998</v>
      </c>
      <c r="C776">
        <v>138.48377600000001</v>
      </c>
      <c r="D776" s="2">
        <v>46108</v>
      </c>
      <c r="E776" s="20">
        <v>0.47569444444444442</v>
      </c>
      <c r="G776">
        <v>0.3</v>
      </c>
      <c r="H776">
        <v>0.05</v>
      </c>
      <c r="I776">
        <v>1.1499999999999999</v>
      </c>
      <c r="J776">
        <v>0</v>
      </c>
      <c r="L776">
        <v>8.25</v>
      </c>
      <c r="P776">
        <v>9.75</v>
      </c>
      <c r="Q776" t="s">
        <v>78</v>
      </c>
    </row>
    <row r="777" spans="1:17" x14ac:dyDescent="0.3">
      <c r="A777" s="1" t="s">
        <v>313</v>
      </c>
      <c r="B777" s="1">
        <v>-35.516800000000003</v>
      </c>
      <c r="C777" s="1">
        <v>138.73820000000001</v>
      </c>
      <c r="D777" s="2">
        <v>46109</v>
      </c>
      <c r="E777" s="20">
        <v>0.41666666666666669</v>
      </c>
      <c r="F777" s="1"/>
      <c r="G777" s="1"/>
      <c r="H777" s="1"/>
      <c r="I777" s="1">
        <v>111</v>
      </c>
      <c r="J777" s="1">
        <v>0</v>
      </c>
      <c r="K777" s="1"/>
      <c r="L777" s="1">
        <v>611</v>
      </c>
      <c r="M777" s="1"/>
      <c r="N777" s="1"/>
      <c r="O777" s="1"/>
      <c r="P777">
        <f t="shared" ref="P777:P788" si="1">SUM(F777:I777,K777:O777)</f>
        <v>722</v>
      </c>
      <c r="Q777" t="s">
        <v>186</v>
      </c>
    </row>
    <row r="778" spans="1:17" x14ac:dyDescent="0.3">
      <c r="A778" t="s">
        <v>187</v>
      </c>
      <c r="B778">
        <v>-35.515900000000002</v>
      </c>
      <c r="C778">
        <v>138.70529999999999</v>
      </c>
      <c r="D778" s="2">
        <v>46109</v>
      </c>
      <c r="E778" s="20">
        <v>0.42708333333333331</v>
      </c>
      <c r="I778">
        <v>56</v>
      </c>
      <c r="J778">
        <v>0</v>
      </c>
      <c r="L778">
        <v>111</v>
      </c>
      <c r="P778">
        <f t="shared" si="1"/>
        <v>167</v>
      </c>
      <c r="Q778" t="s">
        <v>186</v>
      </c>
    </row>
    <row r="779" spans="1:17" x14ac:dyDescent="0.3">
      <c r="A779" t="s">
        <v>91</v>
      </c>
      <c r="B779">
        <v>-35.536299999999997</v>
      </c>
      <c r="C779">
        <v>138.67859999999999</v>
      </c>
      <c r="D779" s="2">
        <v>46109</v>
      </c>
      <c r="E779" s="20">
        <v>0.4375</v>
      </c>
      <c r="I779">
        <v>222</v>
      </c>
      <c r="J779">
        <v>0</v>
      </c>
      <c r="L779">
        <v>56</v>
      </c>
      <c r="P779">
        <f t="shared" si="1"/>
        <v>278</v>
      </c>
      <c r="Q779" t="s">
        <v>186</v>
      </c>
    </row>
    <row r="780" spans="1:17" x14ac:dyDescent="0.3">
      <c r="A780" t="s">
        <v>185</v>
      </c>
      <c r="B780">
        <v>-35.538600000000002</v>
      </c>
      <c r="C780">
        <v>138.6497</v>
      </c>
      <c r="D780" s="2">
        <v>46109</v>
      </c>
      <c r="E780" s="20">
        <v>0.44791666666666669</v>
      </c>
      <c r="I780">
        <v>56</v>
      </c>
      <c r="J780">
        <v>0</v>
      </c>
      <c r="L780">
        <v>56</v>
      </c>
      <c r="P780">
        <f t="shared" si="1"/>
        <v>112</v>
      </c>
      <c r="Q780" t="s">
        <v>186</v>
      </c>
    </row>
    <row r="781" spans="1:17" x14ac:dyDescent="0.3">
      <c r="A781" t="s">
        <v>315</v>
      </c>
      <c r="B781">
        <v>-35.5565</v>
      </c>
      <c r="C781">
        <v>138.62610000000001</v>
      </c>
      <c r="D781" s="2">
        <v>46109</v>
      </c>
      <c r="E781" s="20">
        <v>0.4826388888888889</v>
      </c>
      <c r="I781">
        <v>0</v>
      </c>
      <c r="J781">
        <v>0</v>
      </c>
      <c r="L781">
        <v>0</v>
      </c>
      <c r="P781">
        <f t="shared" si="1"/>
        <v>0</v>
      </c>
      <c r="Q781" t="s">
        <v>186</v>
      </c>
    </row>
    <row r="782" spans="1:17" x14ac:dyDescent="0.3">
      <c r="A782" t="s">
        <v>188</v>
      </c>
      <c r="B782">
        <v>-35.5565</v>
      </c>
      <c r="C782">
        <v>138.62610000000001</v>
      </c>
      <c r="D782" s="2">
        <v>46109</v>
      </c>
      <c r="E782" s="20">
        <v>0.46527777777777779</v>
      </c>
      <c r="I782">
        <v>222</v>
      </c>
      <c r="J782">
        <v>0</v>
      </c>
      <c r="L782">
        <v>56</v>
      </c>
      <c r="P782">
        <f t="shared" si="1"/>
        <v>278</v>
      </c>
      <c r="Q782" t="s">
        <v>186</v>
      </c>
    </row>
    <row r="783" spans="1:17" x14ac:dyDescent="0.3">
      <c r="A783" t="s">
        <v>317</v>
      </c>
      <c r="B783">
        <v>-35.634900000000002</v>
      </c>
      <c r="C783">
        <v>138.49850000000001</v>
      </c>
      <c r="D783" s="2">
        <v>46109</v>
      </c>
      <c r="E783" s="20">
        <v>0.4861111111111111</v>
      </c>
      <c r="I783">
        <v>278</v>
      </c>
      <c r="J783">
        <v>0</v>
      </c>
      <c r="L783">
        <v>167</v>
      </c>
      <c r="P783">
        <f t="shared" si="1"/>
        <v>445</v>
      </c>
      <c r="Q783" t="s">
        <v>186</v>
      </c>
    </row>
    <row r="784" spans="1:17" x14ac:dyDescent="0.3">
      <c r="A784" t="s">
        <v>316</v>
      </c>
      <c r="B784">
        <v>-35.563899999999997</v>
      </c>
      <c r="C784">
        <v>138.6131</v>
      </c>
      <c r="D784" s="2">
        <v>46109</v>
      </c>
      <c r="E784" s="20">
        <v>0.50347222222222221</v>
      </c>
      <c r="I784">
        <v>56</v>
      </c>
      <c r="J784">
        <v>0</v>
      </c>
      <c r="L784">
        <v>0</v>
      </c>
      <c r="P784">
        <f t="shared" si="1"/>
        <v>56</v>
      </c>
      <c r="Q784" t="s">
        <v>186</v>
      </c>
    </row>
    <row r="785" spans="1:17" x14ac:dyDescent="0.3">
      <c r="A785" t="s">
        <v>403</v>
      </c>
      <c r="B785">
        <v>-35.548499999999997</v>
      </c>
      <c r="C785">
        <v>138.62710000000001</v>
      </c>
      <c r="D785" s="2">
        <v>46109</v>
      </c>
      <c r="E785" s="20">
        <v>0.47222222222222221</v>
      </c>
      <c r="I785">
        <v>0</v>
      </c>
      <c r="J785">
        <v>0</v>
      </c>
      <c r="L785">
        <v>56</v>
      </c>
      <c r="P785">
        <f t="shared" si="1"/>
        <v>56</v>
      </c>
      <c r="Q785" t="s">
        <v>186</v>
      </c>
    </row>
    <row r="786" spans="1:17" x14ac:dyDescent="0.3">
      <c r="A786" t="s">
        <v>404</v>
      </c>
      <c r="B786">
        <v>-35.5595</v>
      </c>
      <c r="C786">
        <v>138.6275</v>
      </c>
      <c r="D786" s="2">
        <v>46109</v>
      </c>
      <c r="E786" s="20">
        <v>0.48958333333333331</v>
      </c>
      <c r="I786">
        <v>0</v>
      </c>
      <c r="J786">
        <v>0</v>
      </c>
      <c r="L786">
        <v>56</v>
      </c>
      <c r="P786">
        <f t="shared" si="1"/>
        <v>56</v>
      </c>
      <c r="Q786" t="s">
        <v>186</v>
      </c>
    </row>
    <row r="787" spans="1:17" x14ac:dyDescent="0.3">
      <c r="A787" t="s">
        <v>405</v>
      </c>
      <c r="B787">
        <v>-35.585299999999997</v>
      </c>
      <c r="C787">
        <v>138.5985</v>
      </c>
      <c r="D787" s="2">
        <v>46109</v>
      </c>
      <c r="E787" s="20">
        <v>0.51388888888888884</v>
      </c>
      <c r="I787">
        <v>56</v>
      </c>
      <c r="J787">
        <v>0</v>
      </c>
      <c r="L787">
        <v>0</v>
      </c>
      <c r="P787">
        <f t="shared" si="1"/>
        <v>56</v>
      </c>
      <c r="Q787" t="s">
        <v>186</v>
      </c>
    </row>
    <row r="788" spans="1:17" x14ac:dyDescent="0.3">
      <c r="A788" t="s">
        <v>86</v>
      </c>
      <c r="B788">
        <v>-35.5413</v>
      </c>
      <c r="C788">
        <v>138.64080000000001</v>
      </c>
      <c r="D788" s="2">
        <v>46109</v>
      </c>
      <c r="E788" s="20">
        <v>0.45833333333333331</v>
      </c>
      <c r="I788">
        <v>0</v>
      </c>
      <c r="J788">
        <v>0</v>
      </c>
      <c r="L788">
        <v>111</v>
      </c>
      <c r="P788">
        <f t="shared" si="1"/>
        <v>111</v>
      </c>
      <c r="Q788" t="s">
        <v>186</v>
      </c>
    </row>
    <row r="789" spans="1:17" x14ac:dyDescent="0.3">
      <c r="A789" t="s">
        <v>339</v>
      </c>
      <c r="B789">
        <v>-35.500242</v>
      </c>
      <c r="C789">
        <v>138.24491</v>
      </c>
      <c r="D789" s="2">
        <v>46109</v>
      </c>
      <c r="E789" s="20">
        <v>0.68055555555555547</v>
      </c>
      <c r="I789">
        <v>444</v>
      </c>
      <c r="J789">
        <v>0</v>
      </c>
      <c r="L789">
        <v>2667</v>
      </c>
      <c r="N789">
        <v>556</v>
      </c>
      <c r="O789">
        <v>4889</v>
      </c>
      <c r="P789">
        <v>8556</v>
      </c>
      <c r="Q789" t="s">
        <v>251</v>
      </c>
    </row>
    <row r="790" spans="1:17" x14ac:dyDescent="0.3">
      <c r="A790" t="s">
        <v>406</v>
      </c>
      <c r="B790">
        <v>-35.499946999999999</v>
      </c>
      <c r="C790">
        <v>138.242954</v>
      </c>
      <c r="D790" s="2">
        <v>46109</v>
      </c>
      <c r="E790" s="20">
        <v>0.66666666666666663</v>
      </c>
      <c r="H790">
        <v>2222</v>
      </c>
      <c r="I790">
        <v>3333</v>
      </c>
      <c r="J790">
        <v>0</v>
      </c>
      <c r="L790">
        <v>222</v>
      </c>
      <c r="N790">
        <v>2556</v>
      </c>
      <c r="O790">
        <v>444</v>
      </c>
      <c r="P790">
        <v>8777</v>
      </c>
      <c r="Q790" t="s">
        <v>251</v>
      </c>
    </row>
    <row r="791" spans="1:17" x14ac:dyDescent="0.3">
      <c r="A791" t="s">
        <v>396</v>
      </c>
      <c r="B791">
        <v>-35.793973000000001</v>
      </c>
      <c r="C791">
        <v>137.852418</v>
      </c>
      <c r="D791" s="2">
        <v>46110</v>
      </c>
      <c r="E791" s="20">
        <v>0.41666666666666669</v>
      </c>
      <c r="F791">
        <v>1222</v>
      </c>
      <c r="G791">
        <v>667</v>
      </c>
      <c r="H791">
        <v>1333</v>
      </c>
      <c r="I791">
        <v>1000</v>
      </c>
      <c r="J791">
        <v>0</v>
      </c>
      <c r="K791">
        <v>0</v>
      </c>
      <c r="L791">
        <v>3778</v>
      </c>
      <c r="M791">
        <v>222</v>
      </c>
      <c r="N791">
        <v>333</v>
      </c>
      <c r="O791">
        <v>0</v>
      </c>
      <c r="P791">
        <v>8555</v>
      </c>
      <c r="Q791" t="s">
        <v>151</v>
      </c>
    </row>
    <row r="792" spans="1:17" x14ac:dyDescent="0.3">
      <c r="A792" t="s">
        <v>209</v>
      </c>
      <c r="B792">
        <v>-35.739091000000002</v>
      </c>
      <c r="C792">
        <v>137.67788400000001</v>
      </c>
      <c r="D792" s="2">
        <v>46110</v>
      </c>
      <c r="E792" s="20">
        <v>0.4375</v>
      </c>
      <c r="F792">
        <v>222</v>
      </c>
      <c r="G792">
        <v>0</v>
      </c>
      <c r="H792">
        <v>1333</v>
      </c>
      <c r="I792">
        <v>0</v>
      </c>
      <c r="J792">
        <v>0</v>
      </c>
      <c r="K792">
        <v>0</v>
      </c>
      <c r="L792">
        <v>5778</v>
      </c>
      <c r="M792">
        <v>1444</v>
      </c>
      <c r="N792">
        <v>0</v>
      </c>
      <c r="O792">
        <v>0</v>
      </c>
      <c r="P792">
        <v>8777</v>
      </c>
      <c r="Q792" t="s">
        <v>151</v>
      </c>
    </row>
    <row r="793" spans="1:17" x14ac:dyDescent="0.3">
      <c r="A793" t="s">
        <v>376</v>
      </c>
      <c r="B793">
        <v>-35.853555700000001</v>
      </c>
      <c r="C793">
        <v>137.74248499999999</v>
      </c>
      <c r="D793" s="2">
        <v>46110</v>
      </c>
      <c r="E793" s="20">
        <v>0.39583333333333331</v>
      </c>
      <c r="F793">
        <v>167</v>
      </c>
      <c r="G793">
        <v>0</v>
      </c>
      <c r="H793">
        <v>4000</v>
      </c>
      <c r="I793">
        <v>444</v>
      </c>
      <c r="J793">
        <v>0</v>
      </c>
      <c r="K793">
        <v>0</v>
      </c>
      <c r="L793">
        <v>1222</v>
      </c>
      <c r="M793">
        <v>0</v>
      </c>
      <c r="N793">
        <v>0</v>
      </c>
      <c r="O793">
        <v>0</v>
      </c>
      <c r="P793">
        <v>5833</v>
      </c>
      <c r="Q793" t="s">
        <v>151</v>
      </c>
    </row>
    <row r="794" spans="1:17" x14ac:dyDescent="0.3">
      <c r="A794" t="s">
        <v>410</v>
      </c>
      <c r="B794">
        <v>-34.075042000000003</v>
      </c>
      <c r="C794">
        <v>137.54297600000001</v>
      </c>
      <c r="D794" s="2">
        <v>46110</v>
      </c>
      <c r="I794">
        <v>306</v>
      </c>
      <c r="J794">
        <v>28</v>
      </c>
      <c r="L794">
        <v>1111</v>
      </c>
      <c r="N794">
        <v>1556</v>
      </c>
      <c r="O794">
        <v>167</v>
      </c>
      <c r="P794">
        <v>3140</v>
      </c>
      <c r="Q794" t="s">
        <v>218</v>
      </c>
    </row>
    <row r="795" spans="1:17" x14ac:dyDescent="0.3">
      <c r="A795" t="s">
        <v>93</v>
      </c>
      <c r="B795">
        <v>-35.514747999999997</v>
      </c>
      <c r="C795">
        <v>138.71989600000001</v>
      </c>
      <c r="D795" s="2">
        <v>46111</v>
      </c>
      <c r="E795" s="20">
        <v>0.375</v>
      </c>
      <c r="I795">
        <v>0.9</v>
      </c>
      <c r="J795">
        <v>0</v>
      </c>
      <c r="L795">
        <v>111.6</v>
      </c>
      <c r="O795">
        <v>0.1</v>
      </c>
      <c r="P795">
        <v>112.6</v>
      </c>
      <c r="Q795" t="s">
        <v>78</v>
      </c>
    </row>
    <row r="796" spans="1:17" x14ac:dyDescent="0.3">
      <c r="A796" t="s">
        <v>93</v>
      </c>
      <c r="B796">
        <v>-35.514581999999997</v>
      </c>
      <c r="C796">
        <v>138.71894700000001</v>
      </c>
      <c r="D796" s="2">
        <v>46111</v>
      </c>
      <c r="E796" s="20">
        <v>0.375</v>
      </c>
      <c r="I796">
        <v>0.9</v>
      </c>
      <c r="J796">
        <v>0</v>
      </c>
      <c r="L796">
        <v>111.6</v>
      </c>
      <c r="O796">
        <v>0.1</v>
      </c>
      <c r="P796">
        <v>112.6</v>
      </c>
      <c r="Q796" t="s">
        <v>78</v>
      </c>
    </row>
    <row r="797" spans="1:17" x14ac:dyDescent="0.3">
      <c r="A797" t="s">
        <v>221</v>
      </c>
      <c r="B797">
        <v>-35.638145999999999</v>
      </c>
      <c r="C797">
        <v>137.6249325</v>
      </c>
      <c r="D797" s="2">
        <v>46112</v>
      </c>
      <c r="E797" s="20">
        <v>0.47916666666666669</v>
      </c>
      <c r="F797">
        <v>0</v>
      </c>
      <c r="G797">
        <v>222</v>
      </c>
      <c r="H797">
        <v>1556</v>
      </c>
      <c r="I797">
        <v>556</v>
      </c>
      <c r="J797">
        <v>0</v>
      </c>
      <c r="K797">
        <v>0</v>
      </c>
      <c r="L797">
        <v>4889</v>
      </c>
      <c r="M797">
        <v>444</v>
      </c>
      <c r="N797">
        <v>0</v>
      </c>
      <c r="O797">
        <v>111</v>
      </c>
      <c r="P797">
        <v>7778</v>
      </c>
      <c r="Q797" t="s">
        <v>151</v>
      </c>
    </row>
    <row r="798" spans="1:17" x14ac:dyDescent="0.3">
      <c r="A798" t="s">
        <v>59</v>
      </c>
      <c r="B798">
        <v>-35.084850000000003</v>
      </c>
      <c r="C798">
        <v>137.74889999999999</v>
      </c>
      <c r="D798" s="2">
        <v>46113</v>
      </c>
      <c r="E798" s="20">
        <v>0.58333333333333337</v>
      </c>
      <c r="G798">
        <v>0</v>
      </c>
      <c r="I798">
        <v>56</v>
      </c>
      <c r="J798">
        <v>0</v>
      </c>
      <c r="L798">
        <v>222</v>
      </c>
      <c r="M798">
        <v>111</v>
      </c>
      <c r="N798">
        <v>777</v>
      </c>
      <c r="P798">
        <v>1166</v>
      </c>
      <c r="Q798" t="s">
        <v>149</v>
      </c>
    </row>
    <row r="799" spans="1:17" x14ac:dyDescent="0.3">
      <c r="A799" t="s">
        <v>408</v>
      </c>
      <c r="B799">
        <v>-35.149287000000001</v>
      </c>
      <c r="C799">
        <v>138.46426199999999</v>
      </c>
      <c r="D799" s="2">
        <v>46114</v>
      </c>
      <c r="I799">
        <v>0.187</v>
      </c>
      <c r="J799">
        <v>0</v>
      </c>
      <c r="L799">
        <v>1.8</v>
      </c>
      <c r="M799">
        <v>3.7999999999999999E-2</v>
      </c>
      <c r="O799">
        <v>0.113</v>
      </c>
      <c r="P799">
        <v>2.1379999999999999</v>
      </c>
      <c r="Q799" t="s">
        <v>78</v>
      </c>
    </row>
    <row r="800" spans="1:17" x14ac:dyDescent="0.3">
      <c r="A800" t="s">
        <v>409</v>
      </c>
      <c r="B800">
        <v>-36.825802000000003</v>
      </c>
      <c r="C800">
        <v>139.84628799999999</v>
      </c>
      <c r="D800" s="2">
        <v>46115</v>
      </c>
      <c r="G800">
        <v>0.2</v>
      </c>
      <c r="I800">
        <v>1.6</v>
      </c>
      <c r="J800">
        <v>0</v>
      </c>
      <c r="L800">
        <v>480.83300000000003</v>
      </c>
      <c r="M800">
        <v>0.1</v>
      </c>
      <c r="N800">
        <v>0.6</v>
      </c>
      <c r="P800">
        <v>483.33300000000008</v>
      </c>
      <c r="Q800" t="s">
        <v>78</v>
      </c>
    </row>
    <row r="801" spans="1:17" x14ac:dyDescent="0.3">
      <c r="A801" t="s">
        <v>360</v>
      </c>
      <c r="B801">
        <v>-35.878667100000001</v>
      </c>
      <c r="C801">
        <v>137.6963188</v>
      </c>
      <c r="D801" s="2">
        <v>46115</v>
      </c>
      <c r="E801" s="20">
        <v>0.66666666666666663</v>
      </c>
      <c r="F801">
        <v>0</v>
      </c>
      <c r="G801">
        <v>0</v>
      </c>
      <c r="H801">
        <v>778</v>
      </c>
      <c r="I801">
        <v>0</v>
      </c>
      <c r="J801">
        <v>0</v>
      </c>
      <c r="K801">
        <v>0</v>
      </c>
      <c r="L801">
        <v>2333</v>
      </c>
      <c r="M801">
        <v>0</v>
      </c>
      <c r="N801">
        <v>0</v>
      </c>
      <c r="O801">
        <v>111</v>
      </c>
      <c r="P801">
        <v>3222</v>
      </c>
      <c r="Q801" t="s">
        <v>151</v>
      </c>
    </row>
    <row r="802" spans="1:17" x14ac:dyDescent="0.3">
      <c r="A802" t="s">
        <v>411</v>
      </c>
      <c r="B802">
        <v>-35.781129999999997</v>
      </c>
      <c r="C802">
        <v>137.86444</v>
      </c>
      <c r="D802" s="2">
        <v>46115</v>
      </c>
      <c r="E802" s="20">
        <v>0.625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778</v>
      </c>
      <c r="M802">
        <v>0</v>
      </c>
      <c r="N802">
        <v>0</v>
      </c>
      <c r="O802">
        <v>0</v>
      </c>
      <c r="P802">
        <v>778</v>
      </c>
      <c r="Q802" t="s">
        <v>151</v>
      </c>
    </row>
    <row r="803" spans="1:17" x14ac:dyDescent="0.3">
      <c r="A803" t="s">
        <v>230</v>
      </c>
      <c r="B803">
        <v>-35.054707999999998</v>
      </c>
      <c r="C803">
        <v>137.725145</v>
      </c>
      <c r="D803" s="2">
        <v>46116</v>
      </c>
      <c r="E803" s="20">
        <v>0.61458333333333337</v>
      </c>
      <c r="I803">
        <v>39333</v>
      </c>
      <c r="J803">
        <v>0</v>
      </c>
      <c r="L803">
        <v>4000</v>
      </c>
      <c r="N803">
        <v>110500</v>
      </c>
      <c r="O803">
        <v>667</v>
      </c>
      <c r="P803">
        <v>154500</v>
      </c>
      <c r="Q803" t="s">
        <v>218</v>
      </c>
    </row>
    <row r="804" spans="1:17" x14ac:dyDescent="0.3">
      <c r="A804" t="s">
        <v>391</v>
      </c>
      <c r="B804">
        <v>-35.786641000000003</v>
      </c>
      <c r="C804">
        <v>138.07153940000001</v>
      </c>
      <c r="D804" s="2">
        <v>46116</v>
      </c>
      <c r="E804" s="20">
        <v>0.625</v>
      </c>
      <c r="F804">
        <v>0</v>
      </c>
      <c r="G804">
        <v>0</v>
      </c>
      <c r="H804">
        <v>0</v>
      </c>
      <c r="I804">
        <v>111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111</v>
      </c>
      <c r="Q804" t="s">
        <v>151</v>
      </c>
    </row>
    <row r="805" spans="1:17" x14ac:dyDescent="0.3">
      <c r="A805" t="s">
        <v>414</v>
      </c>
      <c r="B805">
        <v>-32.915069000000003</v>
      </c>
      <c r="C805">
        <v>137.77708200000001</v>
      </c>
      <c r="D805" s="2">
        <v>46116</v>
      </c>
      <c r="E805" s="20">
        <v>0.47222222222222221</v>
      </c>
      <c r="J805">
        <v>0</v>
      </c>
      <c r="L805">
        <v>1889</v>
      </c>
      <c r="O805">
        <v>444</v>
      </c>
      <c r="P805">
        <v>2333</v>
      </c>
      <c r="Q805" t="s">
        <v>347</v>
      </c>
    </row>
    <row r="806" spans="1:17" x14ac:dyDescent="0.3">
      <c r="A806" t="s">
        <v>415</v>
      </c>
      <c r="B806">
        <v>-32.913386000000003</v>
      </c>
      <c r="C806">
        <v>137.77571399999999</v>
      </c>
      <c r="D806" s="2">
        <v>46116</v>
      </c>
      <c r="E806" s="20">
        <v>0.5</v>
      </c>
      <c r="J806">
        <v>0</v>
      </c>
      <c r="L806">
        <v>444</v>
      </c>
      <c r="O806">
        <v>222</v>
      </c>
      <c r="P806">
        <v>666</v>
      </c>
      <c r="Q806" t="s">
        <v>347</v>
      </c>
    </row>
    <row r="807" spans="1:17" x14ac:dyDescent="0.3">
      <c r="A807" t="s">
        <v>94</v>
      </c>
      <c r="B807">
        <v>-35.58858</v>
      </c>
      <c r="C807">
        <v>138.60474600000001</v>
      </c>
      <c r="D807" s="2">
        <v>46117</v>
      </c>
      <c r="J807">
        <v>0</v>
      </c>
      <c r="L807">
        <v>333</v>
      </c>
      <c r="N807">
        <v>111</v>
      </c>
      <c r="O807">
        <v>444</v>
      </c>
      <c r="P807">
        <v>888</v>
      </c>
      <c r="Q807" t="s">
        <v>129</v>
      </c>
    </row>
    <row r="808" spans="1:17" x14ac:dyDescent="0.3">
      <c r="A808" t="s">
        <v>92</v>
      </c>
      <c r="B808">
        <v>-35.632150000000003</v>
      </c>
      <c r="C808">
        <v>138.48339999999999</v>
      </c>
      <c r="D808" s="2">
        <v>46117</v>
      </c>
      <c r="E808" s="20">
        <v>0.50694444444444442</v>
      </c>
      <c r="H808">
        <v>0.1</v>
      </c>
      <c r="I808">
        <v>0.45</v>
      </c>
      <c r="J808">
        <v>0</v>
      </c>
      <c r="L808">
        <v>29.65</v>
      </c>
      <c r="N808">
        <v>0.3</v>
      </c>
      <c r="O808">
        <v>0.5</v>
      </c>
      <c r="P808">
        <v>31</v>
      </c>
      <c r="Q808" t="s">
        <v>78</v>
      </c>
    </row>
    <row r="809" spans="1:17" x14ac:dyDescent="0.3">
      <c r="A809" t="s">
        <v>390</v>
      </c>
      <c r="B809">
        <v>-35.533231000000001</v>
      </c>
      <c r="C809">
        <v>138.685574</v>
      </c>
      <c r="D809" s="2">
        <v>46117</v>
      </c>
      <c r="E809" s="20">
        <v>0.63888888888888884</v>
      </c>
      <c r="H809">
        <v>0.35</v>
      </c>
      <c r="I809">
        <v>0.6</v>
      </c>
      <c r="J809">
        <v>0</v>
      </c>
      <c r="L809">
        <v>16.45</v>
      </c>
      <c r="N809">
        <v>0.45</v>
      </c>
      <c r="O809">
        <v>0.15</v>
      </c>
      <c r="P809">
        <v>17.999999999999996</v>
      </c>
      <c r="Q809" t="s">
        <v>78</v>
      </c>
    </row>
    <row r="810" spans="1:17" x14ac:dyDescent="0.3">
      <c r="A810" t="s">
        <v>312</v>
      </c>
      <c r="B810">
        <v>-35.445188000000002</v>
      </c>
      <c r="C810">
        <v>138.307266</v>
      </c>
      <c r="D810" s="2">
        <v>46118</v>
      </c>
      <c r="E810" s="20">
        <v>0.34375</v>
      </c>
      <c r="I810">
        <v>0</v>
      </c>
      <c r="J810">
        <v>0</v>
      </c>
      <c r="L810">
        <v>56</v>
      </c>
      <c r="N810">
        <v>0</v>
      </c>
      <c r="O810">
        <v>0</v>
      </c>
      <c r="P810">
        <v>56</v>
      </c>
      <c r="Q810" t="s">
        <v>402</v>
      </c>
    </row>
    <row r="811" spans="1:17" x14ac:dyDescent="0.3">
      <c r="A811" t="s">
        <v>401</v>
      </c>
      <c r="B811">
        <v>-35.510497000000001</v>
      </c>
      <c r="C811">
        <v>138.21676299999999</v>
      </c>
      <c r="D811" s="2">
        <v>46118</v>
      </c>
      <c r="E811" s="20">
        <v>0.59375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56</v>
      </c>
      <c r="N811">
        <v>278</v>
      </c>
      <c r="O811">
        <v>0</v>
      </c>
      <c r="P811">
        <v>334</v>
      </c>
      <c r="Q811" t="s">
        <v>251</v>
      </c>
    </row>
    <row r="812" spans="1:17" x14ac:dyDescent="0.3">
      <c r="A812" t="s">
        <v>406</v>
      </c>
      <c r="B812">
        <v>-35.500024000000003</v>
      </c>
      <c r="C812">
        <v>138.24287699999999</v>
      </c>
      <c r="D812" s="2">
        <v>46119</v>
      </c>
      <c r="E812" s="20">
        <v>0.52083333333333337</v>
      </c>
      <c r="H812">
        <v>0</v>
      </c>
      <c r="I812">
        <v>111</v>
      </c>
      <c r="J812">
        <v>0</v>
      </c>
      <c r="L812">
        <v>0</v>
      </c>
      <c r="N812">
        <v>444</v>
      </c>
      <c r="O812">
        <v>0</v>
      </c>
      <c r="P812">
        <v>555</v>
      </c>
      <c r="Q812" t="s">
        <v>251</v>
      </c>
    </row>
    <row r="813" spans="1:17" x14ac:dyDescent="0.3">
      <c r="A813" t="s">
        <v>412</v>
      </c>
      <c r="B813">
        <v>-35.739091000000002</v>
      </c>
      <c r="C813">
        <v>137.67788400000001</v>
      </c>
      <c r="D813" s="2">
        <v>46119</v>
      </c>
      <c r="E813" s="20">
        <v>0.6875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222</v>
      </c>
      <c r="M813">
        <v>0</v>
      </c>
      <c r="N813">
        <v>0</v>
      </c>
      <c r="O813">
        <v>0</v>
      </c>
      <c r="P813">
        <v>222</v>
      </c>
      <c r="Q813" t="s">
        <v>151</v>
      </c>
    </row>
    <row r="814" spans="1:17" x14ac:dyDescent="0.3">
      <c r="A814" t="s">
        <v>376</v>
      </c>
      <c r="B814">
        <v>-35.853557000000002</v>
      </c>
      <c r="C814">
        <v>137.74248499999999</v>
      </c>
      <c r="D814" s="2">
        <v>46119</v>
      </c>
      <c r="E814" s="20">
        <v>0.70833333333333337</v>
      </c>
      <c r="F814">
        <v>0</v>
      </c>
      <c r="G814">
        <v>0</v>
      </c>
      <c r="H814">
        <v>333</v>
      </c>
      <c r="I814">
        <v>0</v>
      </c>
      <c r="J814">
        <v>0</v>
      </c>
      <c r="K814">
        <v>0</v>
      </c>
      <c r="L814">
        <v>111</v>
      </c>
      <c r="M814">
        <v>0</v>
      </c>
      <c r="N814">
        <v>0</v>
      </c>
      <c r="O814">
        <v>0</v>
      </c>
      <c r="P814">
        <v>444</v>
      </c>
      <c r="Q814" t="s">
        <v>151</v>
      </c>
    </row>
    <row r="815" spans="1:17" x14ac:dyDescent="0.3">
      <c r="A815" t="s">
        <v>59</v>
      </c>
      <c r="B815">
        <v>-35.084850000000003</v>
      </c>
      <c r="C815">
        <v>137.74889999999999</v>
      </c>
      <c r="D815" s="2">
        <v>46120</v>
      </c>
      <c r="E815" s="20">
        <v>0.66666666666666663</v>
      </c>
      <c r="G815">
        <v>0</v>
      </c>
      <c r="I815">
        <v>56</v>
      </c>
      <c r="J815">
        <v>0</v>
      </c>
      <c r="L815">
        <v>444</v>
      </c>
      <c r="M815">
        <v>0</v>
      </c>
      <c r="N815">
        <v>889</v>
      </c>
      <c r="P815">
        <v>1389</v>
      </c>
      <c r="Q815" t="s">
        <v>149</v>
      </c>
    </row>
    <row r="816" spans="1:17" x14ac:dyDescent="0.3">
      <c r="A816" t="s">
        <v>418</v>
      </c>
      <c r="B816">
        <v>-35.463515299999997</v>
      </c>
      <c r="C816">
        <v>137.51524000000001</v>
      </c>
      <c r="D816" s="2">
        <v>46121</v>
      </c>
      <c r="E816" s="20">
        <v>0.66666666666666663</v>
      </c>
      <c r="F816">
        <v>0</v>
      </c>
      <c r="G816">
        <v>0</v>
      </c>
      <c r="H816">
        <v>1222</v>
      </c>
      <c r="I816">
        <v>444</v>
      </c>
      <c r="J816">
        <v>0</v>
      </c>
      <c r="K816">
        <v>0</v>
      </c>
      <c r="L816">
        <v>1667</v>
      </c>
      <c r="M816">
        <v>0</v>
      </c>
      <c r="N816">
        <v>0</v>
      </c>
      <c r="O816">
        <v>111</v>
      </c>
      <c r="P816">
        <v>3444</v>
      </c>
      <c r="Q816" t="s">
        <v>151</v>
      </c>
    </row>
    <row r="817" spans="1:17" x14ac:dyDescent="0.3">
      <c r="A817" t="s">
        <v>417</v>
      </c>
      <c r="B817">
        <v>-35.605305999999999</v>
      </c>
      <c r="C817">
        <v>138.09375</v>
      </c>
      <c r="D817" s="2">
        <v>46124</v>
      </c>
      <c r="E817" s="20">
        <v>0.51041666666666663</v>
      </c>
      <c r="H817">
        <v>56</v>
      </c>
      <c r="I817">
        <v>389</v>
      </c>
      <c r="J817">
        <v>0</v>
      </c>
      <c r="L817">
        <v>667</v>
      </c>
      <c r="N817">
        <v>2278</v>
      </c>
      <c r="O817">
        <v>111</v>
      </c>
      <c r="P817">
        <v>3501</v>
      </c>
      <c r="Q817" t="s">
        <v>251</v>
      </c>
    </row>
    <row r="818" spans="1:17" x14ac:dyDescent="0.3">
      <c r="A818" t="s">
        <v>267</v>
      </c>
      <c r="B818">
        <v>-34.824044999999998</v>
      </c>
      <c r="C818">
        <v>138.48377600000001</v>
      </c>
      <c r="D818" s="2">
        <v>46125</v>
      </c>
      <c r="E818" s="20">
        <v>0.55555555555555558</v>
      </c>
      <c r="G818">
        <v>0.1</v>
      </c>
      <c r="H818">
        <v>1.05</v>
      </c>
      <c r="I818">
        <v>3.75</v>
      </c>
      <c r="J818">
        <v>0</v>
      </c>
      <c r="L818">
        <v>12.75</v>
      </c>
      <c r="M818">
        <v>0.15</v>
      </c>
      <c r="N818">
        <v>0.5</v>
      </c>
      <c r="O818">
        <v>0.1</v>
      </c>
      <c r="P818">
        <v>18.399999999999999</v>
      </c>
      <c r="Q818" t="s">
        <v>78</v>
      </c>
    </row>
    <row r="819" spans="1:17" x14ac:dyDescent="0.3">
      <c r="A819" t="s">
        <v>79</v>
      </c>
      <c r="B819">
        <v>-34.804662999999998</v>
      </c>
      <c r="C819">
        <v>138.540223</v>
      </c>
      <c r="D819" s="2">
        <v>46125</v>
      </c>
      <c r="E819" s="20">
        <v>0.53472222222222221</v>
      </c>
      <c r="I819">
        <v>0.6</v>
      </c>
      <c r="J819">
        <v>0</v>
      </c>
      <c r="L819">
        <v>31.8</v>
      </c>
      <c r="P819">
        <v>32.4</v>
      </c>
      <c r="Q819" t="s">
        <v>78</v>
      </c>
    </row>
    <row r="820" spans="1:17" x14ac:dyDescent="0.3">
      <c r="A820" t="s">
        <v>416</v>
      </c>
      <c r="B820">
        <v>-34.875185999999999</v>
      </c>
      <c r="C820">
        <v>138.485422</v>
      </c>
      <c r="D820" s="2">
        <v>46125</v>
      </c>
      <c r="E820" s="20">
        <v>0.6875</v>
      </c>
      <c r="H820">
        <v>0.6</v>
      </c>
      <c r="I820">
        <v>7.2</v>
      </c>
      <c r="J820">
        <v>0</v>
      </c>
      <c r="L820">
        <v>1141.3679999999999</v>
      </c>
      <c r="N820">
        <v>0.3</v>
      </c>
      <c r="O820">
        <v>0.6</v>
      </c>
      <c r="P820">
        <v>1150.0679999999998</v>
      </c>
      <c r="Q820" t="s">
        <v>78</v>
      </c>
    </row>
    <row r="821" spans="1:17" x14ac:dyDescent="0.3">
      <c r="A821" t="s">
        <v>312</v>
      </c>
      <c r="B821">
        <v>-35.445188000000002</v>
      </c>
      <c r="C821">
        <v>138.307266</v>
      </c>
      <c r="D821" s="2">
        <v>46125</v>
      </c>
      <c r="E821" s="20">
        <v>0.39583333333333331</v>
      </c>
      <c r="I821">
        <v>111</v>
      </c>
      <c r="J821">
        <v>0</v>
      </c>
      <c r="L821">
        <v>0</v>
      </c>
      <c r="N821">
        <v>0</v>
      </c>
      <c r="O821">
        <v>667</v>
      </c>
      <c r="P821">
        <v>778</v>
      </c>
      <c r="Q821" t="s">
        <v>350</v>
      </c>
    </row>
    <row r="822" spans="1:17" x14ac:dyDescent="0.3">
      <c r="A822" t="s">
        <v>419</v>
      </c>
      <c r="B822">
        <v>-35.591330800000001</v>
      </c>
      <c r="C822">
        <v>137.5061887</v>
      </c>
      <c r="D822" s="2">
        <v>46126</v>
      </c>
      <c r="E822" s="20">
        <v>0.58333333333333337</v>
      </c>
      <c r="F822">
        <v>0</v>
      </c>
      <c r="G822">
        <v>0</v>
      </c>
      <c r="H822">
        <v>1667</v>
      </c>
      <c r="I822">
        <v>333</v>
      </c>
      <c r="J822">
        <v>0</v>
      </c>
      <c r="K822">
        <v>0</v>
      </c>
      <c r="L822">
        <v>2556</v>
      </c>
      <c r="M822">
        <v>222</v>
      </c>
      <c r="N822">
        <v>0</v>
      </c>
      <c r="O822">
        <v>0</v>
      </c>
      <c r="P822">
        <v>4778</v>
      </c>
      <c r="Q822" t="s">
        <v>151</v>
      </c>
    </row>
    <row r="823" spans="1:17" x14ac:dyDescent="0.3">
      <c r="A823" t="s">
        <v>396</v>
      </c>
      <c r="B823">
        <v>-35.793973000000001</v>
      </c>
      <c r="C823">
        <v>137.852418</v>
      </c>
      <c r="D823" s="2">
        <v>46126</v>
      </c>
      <c r="E823" s="20">
        <v>0.54166666666666663</v>
      </c>
      <c r="F823">
        <v>0</v>
      </c>
      <c r="G823">
        <v>0</v>
      </c>
      <c r="H823">
        <v>111</v>
      </c>
      <c r="I823">
        <v>0</v>
      </c>
      <c r="J823">
        <v>0</v>
      </c>
      <c r="K823">
        <v>0</v>
      </c>
      <c r="L823">
        <v>333</v>
      </c>
      <c r="M823">
        <v>333</v>
      </c>
      <c r="N823">
        <v>0</v>
      </c>
      <c r="O823">
        <v>0</v>
      </c>
      <c r="P823">
        <v>777</v>
      </c>
      <c r="Q823" t="s">
        <v>151</v>
      </c>
    </row>
    <row r="824" spans="1:17" x14ac:dyDescent="0.3">
      <c r="A824" t="s">
        <v>420</v>
      </c>
      <c r="B824">
        <v>-35.638117999999999</v>
      </c>
      <c r="C824">
        <v>139.070425</v>
      </c>
      <c r="D824" s="2">
        <v>46127</v>
      </c>
      <c r="G824">
        <v>1000</v>
      </c>
      <c r="H824">
        <v>444</v>
      </c>
      <c r="I824">
        <v>333</v>
      </c>
      <c r="J824">
        <v>0</v>
      </c>
      <c r="L824">
        <v>9000</v>
      </c>
      <c r="N824">
        <v>189</v>
      </c>
      <c r="O824">
        <v>11555</v>
      </c>
      <c r="P824">
        <v>22521</v>
      </c>
      <c r="Q824" t="s">
        <v>129</v>
      </c>
    </row>
    <row r="825" spans="1:17" x14ac:dyDescent="0.3">
      <c r="A825" t="s">
        <v>422</v>
      </c>
      <c r="B825">
        <v>-35.500024000000003</v>
      </c>
      <c r="C825">
        <v>138.24287699999999</v>
      </c>
      <c r="D825" s="2">
        <v>46130</v>
      </c>
      <c r="E825" s="20">
        <v>0.61458333333333337</v>
      </c>
      <c r="H825">
        <v>222</v>
      </c>
      <c r="I825">
        <v>56</v>
      </c>
      <c r="J825">
        <v>0</v>
      </c>
      <c r="K825">
        <v>0</v>
      </c>
      <c r="L825">
        <v>56</v>
      </c>
      <c r="N825">
        <v>944</v>
      </c>
      <c r="O825">
        <v>56</v>
      </c>
      <c r="P825">
        <v>1334</v>
      </c>
      <c r="Q825" t="s">
        <v>251</v>
      </c>
    </row>
    <row r="826" spans="1:17" x14ac:dyDescent="0.3">
      <c r="A826" t="s">
        <v>89</v>
      </c>
      <c r="B826">
        <v>-35.6048446</v>
      </c>
      <c r="C826">
        <v>138.59278499999999</v>
      </c>
      <c r="D826" s="2">
        <v>46131</v>
      </c>
      <c r="G826">
        <v>111</v>
      </c>
      <c r="I826">
        <v>222</v>
      </c>
      <c r="J826">
        <v>0</v>
      </c>
      <c r="L826">
        <v>222</v>
      </c>
      <c r="N826">
        <v>389</v>
      </c>
      <c r="O826">
        <v>444</v>
      </c>
      <c r="P826">
        <v>1388</v>
      </c>
      <c r="Q826" t="s">
        <v>129</v>
      </c>
    </row>
    <row r="827" spans="1:17" x14ac:dyDescent="0.3">
      <c r="A827" t="s">
        <v>401</v>
      </c>
      <c r="B827">
        <v>-35.510497000000001</v>
      </c>
      <c r="C827">
        <v>138.21676299999999</v>
      </c>
      <c r="D827" s="2">
        <v>46131</v>
      </c>
      <c r="E827" s="20">
        <v>0.625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278</v>
      </c>
      <c r="O827">
        <v>111</v>
      </c>
      <c r="P827">
        <v>389</v>
      </c>
      <c r="Q827" t="s">
        <v>251</v>
      </c>
    </row>
    <row r="828" spans="1:17" x14ac:dyDescent="0.3">
      <c r="A828" t="s">
        <v>423</v>
      </c>
      <c r="B828">
        <v>-34.980508999999998</v>
      </c>
      <c r="C828">
        <v>138.508081</v>
      </c>
      <c r="D828" s="2">
        <v>46131</v>
      </c>
      <c r="E828" s="20">
        <v>0.45833333333333331</v>
      </c>
      <c r="G828">
        <v>0.12</v>
      </c>
      <c r="I828">
        <v>4.68</v>
      </c>
      <c r="J828">
        <v>0</v>
      </c>
      <c r="L828">
        <v>380.28</v>
      </c>
      <c r="N828">
        <v>0.6</v>
      </c>
      <c r="O828">
        <v>0.48</v>
      </c>
      <c r="P828">
        <v>386.16</v>
      </c>
      <c r="Q828" t="s">
        <v>78</v>
      </c>
    </row>
    <row r="829" spans="1:17" x14ac:dyDescent="0.3">
      <c r="A829" t="s">
        <v>179</v>
      </c>
      <c r="B829">
        <v>-35.078539999999997</v>
      </c>
      <c r="C829">
        <v>138.49587</v>
      </c>
      <c r="D829" s="2">
        <v>46131</v>
      </c>
      <c r="E829" s="20">
        <v>0.54166666666666663</v>
      </c>
      <c r="H829">
        <v>0.1</v>
      </c>
      <c r="I829">
        <v>0.36699999999999999</v>
      </c>
      <c r="J829">
        <v>0</v>
      </c>
      <c r="L829">
        <v>4.5</v>
      </c>
      <c r="M829">
        <v>6.7000000000000004E-2</v>
      </c>
      <c r="P829">
        <v>5.0339999999999998</v>
      </c>
      <c r="Q829" t="s">
        <v>78</v>
      </c>
    </row>
    <row r="830" spans="1:17" x14ac:dyDescent="0.3">
      <c r="A830" t="s">
        <v>312</v>
      </c>
      <c r="B830">
        <v>-35.445188000000002</v>
      </c>
      <c r="C830">
        <v>138.307266</v>
      </c>
      <c r="D830" s="2">
        <v>46132</v>
      </c>
      <c r="E830" s="20">
        <v>0.375</v>
      </c>
      <c r="I830">
        <v>111</v>
      </c>
      <c r="J830">
        <v>0</v>
      </c>
      <c r="L830">
        <v>222</v>
      </c>
      <c r="N830">
        <v>0</v>
      </c>
      <c r="O830">
        <v>2167</v>
      </c>
      <c r="P830">
        <v>2500</v>
      </c>
      <c r="Q830" t="s">
        <v>350</v>
      </c>
    </row>
    <row r="831" spans="1:17" x14ac:dyDescent="0.3">
      <c r="A831" t="s">
        <v>421</v>
      </c>
      <c r="B831">
        <v>-35.878133800000001</v>
      </c>
      <c r="C831">
        <v>137.69381060000001</v>
      </c>
      <c r="D831" s="2">
        <v>46133</v>
      </c>
      <c r="E831" s="20">
        <v>0.58333333333333337</v>
      </c>
      <c r="F831">
        <v>0</v>
      </c>
      <c r="G831">
        <v>0</v>
      </c>
      <c r="H831">
        <v>2778</v>
      </c>
      <c r="I831">
        <v>0</v>
      </c>
      <c r="J831">
        <v>0</v>
      </c>
      <c r="K831">
        <v>0</v>
      </c>
      <c r="L831">
        <v>18333</v>
      </c>
      <c r="M831">
        <v>556</v>
      </c>
      <c r="N831">
        <v>0</v>
      </c>
      <c r="O831">
        <v>0</v>
      </c>
      <c r="P831">
        <v>21667</v>
      </c>
      <c r="Q831" t="s">
        <v>151</v>
      </c>
    </row>
    <row r="832" spans="1:17" x14ac:dyDescent="0.3">
      <c r="A832" t="s">
        <v>59</v>
      </c>
      <c r="B832">
        <v>-35.084850000000003</v>
      </c>
      <c r="C832">
        <v>137.74889999999999</v>
      </c>
      <c r="D832" s="2">
        <v>46134</v>
      </c>
      <c r="E832" s="20">
        <v>0.5625</v>
      </c>
      <c r="G832">
        <v>444</v>
      </c>
      <c r="I832">
        <v>56</v>
      </c>
      <c r="J832">
        <v>0</v>
      </c>
      <c r="L832">
        <v>0</v>
      </c>
      <c r="M832">
        <v>0</v>
      </c>
      <c r="N832">
        <v>389</v>
      </c>
      <c r="P832">
        <v>889</v>
      </c>
      <c r="Q832" t="s">
        <v>149</v>
      </c>
    </row>
    <row r="833" spans="1:17" x14ac:dyDescent="0.3">
      <c r="A833" t="s">
        <v>86</v>
      </c>
      <c r="B833">
        <v>-35.540277000000003</v>
      </c>
      <c r="C833">
        <v>138.66416599999999</v>
      </c>
      <c r="D833" s="2">
        <v>46135</v>
      </c>
      <c r="E833" s="20">
        <v>0.5180555555555556</v>
      </c>
      <c r="G833">
        <v>56</v>
      </c>
      <c r="H833">
        <v>278</v>
      </c>
      <c r="I833">
        <v>167</v>
      </c>
      <c r="J833">
        <v>0</v>
      </c>
      <c r="K833">
        <v>56</v>
      </c>
      <c r="L833">
        <v>4389</v>
      </c>
      <c r="N833">
        <v>389</v>
      </c>
      <c r="O833">
        <v>944</v>
      </c>
      <c r="P833">
        <v>6279</v>
      </c>
      <c r="Q833" t="s">
        <v>129</v>
      </c>
    </row>
    <row r="834" spans="1:17" x14ac:dyDescent="0.3">
      <c r="A834" t="s">
        <v>87</v>
      </c>
      <c r="B834">
        <v>-35.573300000000003</v>
      </c>
      <c r="C834">
        <v>138.64250000000001</v>
      </c>
      <c r="D834" s="2">
        <v>46135</v>
      </c>
      <c r="E834" s="20">
        <v>0.50555555555555554</v>
      </c>
      <c r="G834">
        <v>56</v>
      </c>
      <c r="H834">
        <v>111</v>
      </c>
      <c r="I834">
        <v>278</v>
      </c>
      <c r="J834">
        <v>0</v>
      </c>
      <c r="L834">
        <v>167</v>
      </c>
      <c r="N834">
        <v>667</v>
      </c>
      <c r="O834">
        <v>778</v>
      </c>
      <c r="P834">
        <v>2057</v>
      </c>
      <c r="Q834" t="s">
        <v>129</v>
      </c>
    </row>
    <row r="835" spans="1:17" x14ac:dyDescent="0.3">
      <c r="A835" t="s">
        <v>425</v>
      </c>
      <c r="B835">
        <v>-35.574167000000003</v>
      </c>
      <c r="C835">
        <v>138.61528000000001</v>
      </c>
      <c r="D835" s="2">
        <v>46135</v>
      </c>
      <c r="E835" s="20">
        <v>0.49652777777777779</v>
      </c>
      <c r="G835">
        <v>222</v>
      </c>
      <c r="I835">
        <v>56</v>
      </c>
      <c r="J835">
        <v>0</v>
      </c>
      <c r="L835">
        <v>111</v>
      </c>
      <c r="N835">
        <v>222</v>
      </c>
      <c r="O835">
        <v>722</v>
      </c>
      <c r="P835">
        <v>1333</v>
      </c>
      <c r="Q835" t="s">
        <v>129</v>
      </c>
    </row>
    <row r="836" spans="1:17" x14ac:dyDescent="0.3">
      <c r="A836" t="s">
        <v>89</v>
      </c>
      <c r="B836">
        <v>-35.6048446</v>
      </c>
      <c r="C836">
        <v>138.59278499999999</v>
      </c>
      <c r="D836" s="2">
        <v>46135</v>
      </c>
      <c r="E836" s="20">
        <v>0.48749999999999999</v>
      </c>
      <c r="H836">
        <v>111</v>
      </c>
      <c r="I836">
        <v>1667</v>
      </c>
      <c r="J836">
        <v>0</v>
      </c>
      <c r="L836">
        <v>56</v>
      </c>
      <c r="N836">
        <v>167</v>
      </c>
      <c r="O836">
        <v>278</v>
      </c>
      <c r="P836">
        <v>2279</v>
      </c>
      <c r="Q836" t="s">
        <v>129</v>
      </c>
    </row>
    <row r="837" spans="1:17" x14ac:dyDescent="0.3">
      <c r="A837" t="s">
        <v>424</v>
      </c>
      <c r="B837">
        <v>-35.620086000000001</v>
      </c>
      <c r="C837">
        <v>138.56635800000001</v>
      </c>
      <c r="D837" s="2">
        <v>46135</v>
      </c>
      <c r="E837" s="20">
        <v>0.47708333333333336</v>
      </c>
      <c r="G837">
        <v>56</v>
      </c>
      <c r="J837">
        <v>0</v>
      </c>
      <c r="L837">
        <v>56</v>
      </c>
      <c r="N837">
        <v>167</v>
      </c>
      <c r="O837">
        <v>222</v>
      </c>
      <c r="P837">
        <v>501</v>
      </c>
      <c r="Q837" t="s">
        <v>129</v>
      </c>
    </row>
    <row r="838" spans="1:17" x14ac:dyDescent="0.3">
      <c r="A838" t="s">
        <v>426</v>
      </c>
      <c r="B838">
        <v>-35.591330800000001</v>
      </c>
      <c r="C838">
        <v>137.5061887</v>
      </c>
      <c r="D838" s="2">
        <v>46136</v>
      </c>
      <c r="E838" s="20">
        <v>0.54166666666666663</v>
      </c>
      <c r="F838">
        <v>0</v>
      </c>
      <c r="G838">
        <v>0</v>
      </c>
      <c r="H838">
        <v>778</v>
      </c>
      <c r="I838">
        <v>667</v>
      </c>
      <c r="J838">
        <v>0</v>
      </c>
      <c r="K838">
        <v>0</v>
      </c>
      <c r="L838">
        <v>778</v>
      </c>
      <c r="M838">
        <v>0</v>
      </c>
      <c r="N838">
        <v>0</v>
      </c>
      <c r="O838">
        <v>0</v>
      </c>
      <c r="P838">
        <v>2223</v>
      </c>
      <c r="Q838" t="s">
        <v>151</v>
      </c>
    </row>
    <row r="839" spans="1:17" x14ac:dyDescent="0.3">
      <c r="A839" t="s">
        <v>288</v>
      </c>
      <c r="B839">
        <v>-34.629179999999998</v>
      </c>
      <c r="C839">
        <v>135.86635000000001</v>
      </c>
      <c r="D839" s="2">
        <v>46136</v>
      </c>
      <c r="I839">
        <v>160</v>
      </c>
      <c r="J839">
        <v>11</v>
      </c>
      <c r="L839">
        <v>311</v>
      </c>
      <c r="O839">
        <v>93</v>
      </c>
      <c r="P839">
        <v>564</v>
      </c>
      <c r="Q839" t="s">
        <v>283</v>
      </c>
    </row>
    <row r="840" spans="1:17" x14ac:dyDescent="0.3">
      <c r="A840" t="s">
        <v>339</v>
      </c>
      <c r="B840">
        <v>-35.500242</v>
      </c>
      <c r="C840">
        <v>138.24491</v>
      </c>
      <c r="D840" s="2">
        <v>46137</v>
      </c>
      <c r="E840" s="20">
        <v>0.39583333333333331</v>
      </c>
      <c r="F840">
        <v>0</v>
      </c>
      <c r="H840">
        <v>278</v>
      </c>
      <c r="I840">
        <v>222</v>
      </c>
      <c r="J840">
        <v>0</v>
      </c>
      <c r="L840">
        <v>1000</v>
      </c>
      <c r="N840">
        <v>1056</v>
      </c>
      <c r="O840">
        <v>222</v>
      </c>
      <c r="P840">
        <v>2778</v>
      </c>
      <c r="Q840" t="s">
        <v>251</v>
      </c>
    </row>
    <row r="841" spans="1:17" x14ac:dyDescent="0.3">
      <c r="A841" t="s">
        <v>94</v>
      </c>
      <c r="B841">
        <v>-35.58858</v>
      </c>
      <c r="C841">
        <v>138.60474600000001</v>
      </c>
      <c r="D841" s="2">
        <v>46138</v>
      </c>
      <c r="J841">
        <v>0</v>
      </c>
      <c r="L841">
        <v>167</v>
      </c>
      <c r="N841">
        <v>278</v>
      </c>
      <c r="O841">
        <v>833</v>
      </c>
      <c r="P841">
        <v>1278</v>
      </c>
      <c r="Q841" t="s">
        <v>129</v>
      </c>
    </row>
    <row r="842" spans="1:17" x14ac:dyDescent="0.3">
      <c r="A842" t="s">
        <v>89</v>
      </c>
      <c r="B842">
        <v>-35.6048446</v>
      </c>
      <c r="C842">
        <v>138.59278499999999</v>
      </c>
      <c r="D842" s="2">
        <v>46138</v>
      </c>
      <c r="G842">
        <v>111</v>
      </c>
      <c r="J842">
        <v>0</v>
      </c>
      <c r="L842">
        <v>56</v>
      </c>
      <c r="N842">
        <v>722</v>
      </c>
      <c r="O842">
        <v>944</v>
      </c>
      <c r="P842">
        <v>1833</v>
      </c>
      <c r="Q842" t="s">
        <v>129</v>
      </c>
    </row>
    <row r="843" spans="1:17" x14ac:dyDescent="0.3">
      <c r="A843" t="s">
        <v>312</v>
      </c>
      <c r="B843">
        <v>-35.445188000000002</v>
      </c>
      <c r="C843">
        <v>138.307266</v>
      </c>
      <c r="D843" s="2">
        <v>46139</v>
      </c>
      <c r="E843" s="20">
        <v>0.47916666666666669</v>
      </c>
      <c r="I843">
        <v>0</v>
      </c>
      <c r="J843">
        <v>0</v>
      </c>
      <c r="L843">
        <v>611</v>
      </c>
      <c r="N843">
        <v>0</v>
      </c>
      <c r="O843">
        <v>56</v>
      </c>
      <c r="P843">
        <v>667</v>
      </c>
      <c r="Q843" t="s">
        <v>350</v>
      </c>
    </row>
    <row r="844" spans="1:17" x14ac:dyDescent="0.3">
      <c r="A844" t="s">
        <v>427</v>
      </c>
      <c r="B844">
        <v>-35.410254000000002</v>
      </c>
      <c r="C844">
        <v>138.32751999999999</v>
      </c>
      <c r="D844" s="2">
        <v>46139</v>
      </c>
      <c r="E844" s="20">
        <v>0.30208333333333331</v>
      </c>
      <c r="H844">
        <v>0</v>
      </c>
      <c r="I844">
        <v>0</v>
      </c>
      <c r="J844">
        <v>0</v>
      </c>
      <c r="K844">
        <v>0</v>
      </c>
      <c r="L844">
        <v>56</v>
      </c>
      <c r="M844">
        <v>0</v>
      </c>
      <c r="N844">
        <v>0</v>
      </c>
      <c r="P844">
        <v>56</v>
      </c>
      <c r="Q844" t="s">
        <v>350</v>
      </c>
    </row>
    <row r="845" spans="1:17" x14ac:dyDescent="0.3">
      <c r="A845" t="s">
        <v>288</v>
      </c>
      <c r="B845">
        <v>-34.629179999999998</v>
      </c>
      <c r="C845">
        <v>135.86635000000001</v>
      </c>
      <c r="D845" s="2">
        <v>46141</v>
      </c>
      <c r="I845">
        <v>56</v>
      </c>
      <c r="J845">
        <v>9</v>
      </c>
      <c r="L845">
        <v>65</v>
      </c>
      <c r="N845">
        <v>46</v>
      </c>
      <c r="O845">
        <v>259</v>
      </c>
      <c r="P845">
        <v>426</v>
      </c>
      <c r="Q845" t="s">
        <v>283</v>
      </c>
    </row>
    <row r="846" spans="1:17" x14ac:dyDescent="0.3">
      <c r="A846" t="s">
        <v>428</v>
      </c>
      <c r="B846">
        <v>-34.891616999999997</v>
      </c>
      <c r="C846">
        <v>137.83265</v>
      </c>
      <c r="D846" s="2">
        <v>46142</v>
      </c>
      <c r="E846" s="20">
        <v>0.40625</v>
      </c>
      <c r="I846">
        <v>56</v>
      </c>
      <c r="J846">
        <v>0</v>
      </c>
      <c r="L846">
        <v>56</v>
      </c>
      <c r="N846">
        <v>56</v>
      </c>
      <c r="P846">
        <v>168</v>
      </c>
      <c r="Q846" t="s">
        <v>365</v>
      </c>
    </row>
    <row r="847" spans="1:17" x14ac:dyDescent="0.3">
      <c r="A847" t="s">
        <v>289</v>
      </c>
      <c r="B847">
        <v>-34.628860000000003</v>
      </c>
      <c r="C847">
        <v>135.86708999999999</v>
      </c>
      <c r="D847" s="2">
        <v>46143</v>
      </c>
      <c r="I847">
        <v>28</v>
      </c>
      <c r="J847">
        <v>19</v>
      </c>
      <c r="L847">
        <v>74</v>
      </c>
      <c r="M847">
        <v>0</v>
      </c>
      <c r="N847">
        <v>0</v>
      </c>
      <c r="O847">
        <v>185</v>
      </c>
      <c r="P847">
        <v>287</v>
      </c>
      <c r="Q847" t="s">
        <v>283</v>
      </c>
    </row>
    <row r="848" spans="1:17" x14ac:dyDescent="0.3">
      <c r="A848" t="s">
        <v>152</v>
      </c>
      <c r="B848">
        <v>-35.824725999999998</v>
      </c>
      <c r="C848">
        <v>137.75102200000001</v>
      </c>
      <c r="D848" s="2">
        <v>46145</v>
      </c>
      <c r="G848">
        <v>56</v>
      </c>
      <c r="I848">
        <v>56</v>
      </c>
      <c r="J848">
        <v>0</v>
      </c>
      <c r="L848">
        <v>278</v>
      </c>
      <c r="N848">
        <v>333</v>
      </c>
      <c r="O848">
        <v>2722</v>
      </c>
      <c r="P848">
        <v>3445</v>
      </c>
      <c r="Q848" t="s">
        <v>129</v>
      </c>
    </row>
    <row r="849" spans="1:17" x14ac:dyDescent="0.3">
      <c r="A849" t="s">
        <v>401</v>
      </c>
      <c r="B849">
        <v>-35.510497000000001</v>
      </c>
      <c r="C849">
        <v>138.21676299999999</v>
      </c>
      <c r="D849" s="2">
        <v>46146</v>
      </c>
      <c r="E849" s="20">
        <v>0.3923611111111111</v>
      </c>
      <c r="I849">
        <v>0</v>
      </c>
      <c r="J849">
        <v>0</v>
      </c>
      <c r="L849">
        <v>111</v>
      </c>
      <c r="P849">
        <v>111</v>
      </c>
      <c r="Q849" t="s">
        <v>251</v>
      </c>
    </row>
    <row r="850" spans="1:17" x14ac:dyDescent="0.3">
      <c r="A850" t="s">
        <v>289</v>
      </c>
      <c r="B850">
        <v>-34.628860000000003</v>
      </c>
      <c r="C850">
        <v>135.86708999999999</v>
      </c>
      <c r="D850" s="2">
        <v>46146</v>
      </c>
      <c r="E850" s="20">
        <v>0.375</v>
      </c>
      <c r="I850">
        <v>15</v>
      </c>
      <c r="J850">
        <v>8</v>
      </c>
      <c r="L850">
        <v>25</v>
      </c>
      <c r="M850">
        <v>0</v>
      </c>
      <c r="N850">
        <v>0</v>
      </c>
      <c r="O850">
        <v>6</v>
      </c>
      <c r="P850">
        <v>46</v>
      </c>
      <c r="Q850" t="s">
        <v>283</v>
      </c>
    </row>
    <row r="851" spans="1:17" x14ac:dyDescent="0.3">
      <c r="A851" t="s">
        <v>312</v>
      </c>
      <c r="B851">
        <v>-35.445188000000002</v>
      </c>
      <c r="C851">
        <v>138.307266</v>
      </c>
      <c r="D851" s="2">
        <v>46147</v>
      </c>
      <c r="E851" s="20">
        <v>0.375</v>
      </c>
      <c r="I851">
        <v>333</v>
      </c>
      <c r="J851">
        <v>0</v>
      </c>
      <c r="L851">
        <v>444</v>
      </c>
      <c r="N851">
        <v>167</v>
      </c>
      <c r="O851">
        <v>56</v>
      </c>
      <c r="P851">
        <v>1000</v>
      </c>
      <c r="Q851" t="s">
        <v>350</v>
      </c>
    </row>
    <row r="852" spans="1:17" x14ac:dyDescent="0.3">
      <c r="A852" t="s">
        <v>94</v>
      </c>
      <c r="B852">
        <v>-35.58858</v>
      </c>
      <c r="C852">
        <v>138.60474600000001</v>
      </c>
      <c r="D852" s="2">
        <v>46147</v>
      </c>
      <c r="I852">
        <v>56</v>
      </c>
      <c r="J852">
        <v>56</v>
      </c>
      <c r="L852">
        <v>333</v>
      </c>
      <c r="N852">
        <v>222</v>
      </c>
      <c r="O852">
        <v>556</v>
      </c>
      <c r="P852">
        <v>1167</v>
      </c>
      <c r="Q852" t="s">
        <v>129</v>
      </c>
    </row>
    <row r="853" spans="1:17" x14ac:dyDescent="0.3">
      <c r="A853" t="s">
        <v>89</v>
      </c>
      <c r="B853">
        <v>-35.6048446</v>
      </c>
      <c r="C853">
        <v>138.59278499999999</v>
      </c>
      <c r="D853" s="2">
        <v>46147</v>
      </c>
      <c r="I853">
        <v>56</v>
      </c>
      <c r="J853">
        <v>0</v>
      </c>
      <c r="L853">
        <v>389</v>
      </c>
      <c r="N853">
        <v>389</v>
      </c>
      <c r="O853">
        <v>944</v>
      </c>
      <c r="P853">
        <v>1778</v>
      </c>
      <c r="Q853" t="s">
        <v>129</v>
      </c>
    </row>
    <row r="854" spans="1:17" x14ac:dyDescent="0.3">
      <c r="A854" t="s">
        <v>422</v>
      </c>
      <c r="B854">
        <v>-35.500024000000003</v>
      </c>
      <c r="C854">
        <v>138.24287699999999</v>
      </c>
      <c r="D854" s="2">
        <v>46147</v>
      </c>
      <c r="E854" s="20">
        <v>0.48958333333333331</v>
      </c>
      <c r="F854">
        <v>0</v>
      </c>
      <c r="H854">
        <v>500</v>
      </c>
      <c r="I854">
        <v>111</v>
      </c>
      <c r="J854">
        <v>0</v>
      </c>
      <c r="K854">
        <v>0</v>
      </c>
      <c r="L854">
        <v>278</v>
      </c>
      <c r="M854">
        <v>0</v>
      </c>
      <c r="N854">
        <v>2167</v>
      </c>
      <c r="O854">
        <v>167</v>
      </c>
      <c r="P854">
        <v>3223</v>
      </c>
      <c r="Q854" t="s">
        <v>251</v>
      </c>
    </row>
    <row r="855" spans="1:17" x14ac:dyDescent="0.3">
      <c r="A855" t="s">
        <v>59</v>
      </c>
      <c r="B855">
        <v>-35.084850000000003</v>
      </c>
      <c r="C855">
        <v>137.74889999999999</v>
      </c>
      <c r="D855" s="2">
        <v>46148</v>
      </c>
      <c r="E855" s="20">
        <v>0.66666666666666663</v>
      </c>
      <c r="G855">
        <v>277</v>
      </c>
      <c r="H855">
        <v>56</v>
      </c>
      <c r="I855">
        <v>56</v>
      </c>
      <c r="J855">
        <v>0</v>
      </c>
      <c r="L855">
        <v>0</v>
      </c>
      <c r="M855">
        <v>0</v>
      </c>
      <c r="N855">
        <v>444</v>
      </c>
      <c r="P855">
        <v>833</v>
      </c>
      <c r="Q855" t="s">
        <v>149</v>
      </c>
    </row>
    <row r="856" spans="1:17" x14ac:dyDescent="0.3">
      <c r="A856" t="s">
        <v>427</v>
      </c>
      <c r="B856">
        <v>-35.410254000000002</v>
      </c>
      <c r="C856">
        <v>138.32751999999999</v>
      </c>
      <c r="D856" s="2">
        <v>46148</v>
      </c>
      <c r="E856" s="20">
        <v>0.36458333333333331</v>
      </c>
      <c r="F856">
        <v>0</v>
      </c>
      <c r="G856">
        <v>0</v>
      </c>
      <c r="H856">
        <v>722</v>
      </c>
      <c r="I856">
        <v>333</v>
      </c>
      <c r="J856">
        <v>0</v>
      </c>
      <c r="K856">
        <v>0</v>
      </c>
      <c r="L856">
        <v>667</v>
      </c>
      <c r="M856">
        <v>0</v>
      </c>
      <c r="N856">
        <v>3389</v>
      </c>
      <c r="O856">
        <v>167</v>
      </c>
      <c r="P856">
        <v>5278</v>
      </c>
      <c r="Q856" t="s">
        <v>350</v>
      </c>
    </row>
    <row r="857" spans="1:17" x14ac:dyDescent="0.3">
      <c r="A857" t="s">
        <v>429</v>
      </c>
      <c r="B857">
        <v>-34.54036</v>
      </c>
      <c r="C857">
        <v>135.93406999999999</v>
      </c>
      <c r="D857" s="2">
        <v>46149</v>
      </c>
      <c r="E857" s="20">
        <v>0.53125</v>
      </c>
      <c r="I857">
        <v>17</v>
      </c>
      <c r="J857">
        <v>6</v>
      </c>
      <c r="L857">
        <v>9</v>
      </c>
      <c r="M857">
        <v>0</v>
      </c>
      <c r="N857">
        <v>0</v>
      </c>
      <c r="O857">
        <v>3</v>
      </c>
      <c r="P857">
        <v>29</v>
      </c>
      <c r="Q857" t="s">
        <v>283</v>
      </c>
    </row>
    <row r="858" spans="1:17" x14ac:dyDescent="0.3">
      <c r="A858" t="s">
        <v>94</v>
      </c>
      <c r="B858">
        <v>-35.58858</v>
      </c>
      <c r="C858">
        <v>138.60474600000001</v>
      </c>
      <c r="D858" s="2">
        <v>46152</v>
      </c>
      <c r="G858">
        <v>278</v>
      </c>
      <c r="H858">
        <v>167</v>
      </c>
      <c r="I858">
        <v>333</v>
      </c>
      <c r="J858">
        <v>0</v>
      </c>
      <c r="L858">
        <v>56</v>
      </c>
      <c r="N858">
        <v>389</v>
      </c>
      <c r="O858">
        <v>944</v>
      </c>
      <c r="P858">
        <v>2167</v>
      </c>
      <c r="Q858" t="s">
        <v>129</v>
      </c>
    </row>
    <row r="859" spans="1:17" x14ac:dyDescent="0.3">
      <c r="A859" t="s">
        <v>89</v>
      </c>
      <c r="B859">
        <v>-35.6048446</v>
      </c>
      <c r="C859">
        <v>138.59278499999999</v>
      </c>
      <c r="D859" s="2">
        <v>46152</v>
      </c>
      <c r="G859">
        <v>111</v>
      </c>
      <c r="I859">
        <v>56</v>
      </c>
      <c r="J859">
        <v>0</v>
      </c>
      <c r="L859">
        <v>167</v>
      </c>
      <c r="N859">
        <v>667</v>
      </c>
      <c r="O859">
        <v>944</v>
      </c>
      <c r="P859">
        <v>1945</v>
      </c>
      <c r="Q859" t="s">
        <v>129</v>
      </c>
    </row>
    <row r="860" spans="1:17" x14ac:dyDescent="0.3">
      <c r="A860" t="s">
        <v>289</v>
      </c>
      <c r="B860">
        <v>-34.628860000000003</v>
      </c>
      <c r="C860">
        <v>135.86708999999999</v>
      </c>
      <c r="D860" s="2">
        <v>46152</v>
      </c>
      <c r="E860" s="20">
        <v>0.4375</v>
      </c>
      <c r="I860">
        <v>19</v>
      </c>
      <c r="J860">
        <v>12</v>
      </c>
      <c r="L860">
        <v>63</v>
      </c>
      <c r="M860">
        <v>0</v>
      </c>
      <c r="N860">
        <v>0</v>
      </c>
      <c r="O860">
        <v>1</v>
      </c>
      <c r="P860">
        <v>83</v>
      </c>
      <c r="Q860" t="s">
        <v>283</v>
      </c>
    </row>
    <row r="861" spans="1:17" x14ac:dyDescent="0.3">
      <c r="A861" t="s">
        <v>430</v>
      </c>
      <c r="B861">
        <v>-35.472737000000002</v>
      </c>
      <c r="C861">
        <v>138.28932900000001</v>
      </c>
      <c r="D861" s="2">
        <v>46152</v>
      </c>
      <c r="E861" s="20">
        <v>0.36458333333333331</v>
      </c>
      <c r="F861">
        <v>0</v>
      </c>
      <c r="G861">
        <v>0</v>
      </c>
      <c r="H861">
        <v>167</v>
      </c>
      <c r="I861">
        <v>0</v>
      </c>
      <c r="J861">
        <v>0</v>
      </c>
      <c r="K861">
        <v>0</v>
      </c>
      <c r="L861">
        <v>333</v>
      </c>
      <c r="M861">
        <v>0</v>
      </c>
      <c r="N861">
        <v>611</v>
      </c>
      <c r="O861">
        <v>167</v>
      </c>
      <c r="P861">
        <v>1278</v>
      </c>
      <c r="Q861" t="s">
        <v>251</v>
      </c>
    </row>
    <row r="862" spans="1:17" x14ac:dyDescent="0.3">
      <c r="A862" t="s">
        <v>289</v>
      </c>
      <c r="B862">
        <v>-34.628860000000003</v>
      </c>
      <c r="C862">
        <v>135.86708999999999</v>
      </c>
      <c r="D862" s="2">
        <v>46153</v>
      </c>
      <c r="E862" s="20">
        <v>0.29166666666666669</v>
      </c>
      <c r="I862">
        <v>17</v>
      </c>
      <c r="J862">
        <v>13</v>
      </c>
      <c r="L862">
        <v>56</v>
      </c>
      <c r="M862">
        <v>0</v>
      </c>
      <c r="N862">
        <v>0</v>
      </c>
      <c r="O862">
        <v>6</v>
      </c>
      <c r="P862">
        <v>79</v>
      </c>
      <c r="Q862" t="s">
        <v>283</v>
      </c>
    </row>
    <row r="863" spans="1:17" x14ac:dyDescent="0.3">
      <c r="A863" t="s">
        <v>312</v>
      </c>
      <c r="B863">
        <v>-35.445188000000002</v>
      </c>
      <c r="C863">
        <v>138.307266</v>
      </c>
      <c r="D863" s="2">
        <v>46153</v>
      </c>
      <c r="E863" s="20">
        <v>0.375</v>
      </c>
      <c r="F863">
        <v>0</v>
      </c>
      <c r="G863">
        <v>0</v>
      </c>
      <c r="H863">
        <v>56</v>
      </c>
      <c r="I863">
        <v>0</v>
      </c>
      <c r="J863">
        <v>0</v>
      </c>
      <c r="K863">
        <v>0</v>
      </c>
      <c r="L863">
        <v>111</v>
      </c>
      <c r="M863">
        <v>0</v>
      </c>
      <c r="N863">
        <v>111</v>
      </c>
      <c r="O863">
        <v>0</v>
      </c>
      <c r="P863">
        <v>278</v>
      </c>
      <c r="Q863" t="s">
        <v>402</v>
      </c>
    </row>
    <row r="864" spans="1:17" x14ac:dyDescent="0.3">
      <c r="A864" t="s">
        <v>86</v>
      </c>
      <c r="B864">
        <v>-35.540277000000003</v>
      </c>
      <c r="C864">
        <v>138.66416599999999</v>
      </c>
      <c r="D864" s="2">
        <v>46154</v>
      </c>
      <c r="E864" s="20">
        <v>0.35972222222222222</v>
      </c>
      <c r="G864">
        <v>56</v>
      </c>
      <c r="J864">
        <v>0</v>
      </c>
      <c r="N864">
        <v>444</v>
      </c>
      <c r="O864">
        <v>278</v>
      </c>
      <c r="P864">
        <v>778</v>
      </c>
      <c r="Q864" t="s">
        <v>129</v>
      </c>
    </row>
    <row r="865" spans="1:17" x14ac:dyDescent="0.3">
      <c r="A865" t="s">
        <v>100</v>
      </c>
      <c r="B865">
        <v>-35.536745000000003</v>
      </c>
      <c r="C865">
        <v>138.6913744</v>
      </c>
      <c r="D865" s="2">
        <v>46154</v>
      </c>
      <c r="E865" s="20">
        <v>0.36666666666666664</v>
      </c>
      <c r="I865">
        <v>167</v>
      </c>
      <c r="J865">
        <v>0</v>
      </c>
      <c r="L865">
        <v>7000</v>
      </c>
      <c r="M865">
        <v>167</v>
      </c>
      <c r="N865">
        <v>222</v>
      </c>
      <c r="O865">
        <v>1667</v>
      </c>
      <c r="P865">
        <v>9223</v>
      </c>
      <c r="Q865" t="s">
        <v>129</v>
      </c>
    </row>
    <row r="866" spans="1:17" x14ac:dyDescent="0.3">
      <c r="A866" t="s">
        <v>59</v>
      </c>
      <c r="B866">
        <v>-35.084850000000003</v>
      </c>
      <c r="C866">
        <v>137.74889999999999</v>
      </c>
      <c r="D866" s="2">
        <v>46155</v>
      </c>
      <c r="E866" s="20">
        <v>0.70833333333333337</v>
      </c>
      <c r="G866">
        <v>277</v>
      </c>
      <c r="J866">
        <v>0</v>
      </c>
      <c r="L866">
        <v>0</v>
      </c>
      <c r="M866">
        <v>0</v>
      </c>
      <c r="N866">
        <v>333</v>
      </c>
      <c r="P866">
        <v>610</v>
      </c>
      <c r="Q866" t="s">
        <v>149</v>
      </c>
    </row>
    <row r="867" spans="1:17" x14ac:dyDescent="0.3">
      <c r="A867" t="s">
        <v>289</v>
      </c>
      <c r="B867">
        <v>-34.628860000000003</v>
      </c>
      <c r="C867">
        <v>135.86708999999999</v>
      </c>
      <c r="D867" s="2">
        <v>46155</v>
      </c>
      <c r="E867" s="20">
        <v>0.33333333333333331</v>
      </c>
      <c r="I867">
        <v>17</v>
      </c>
      <c r="J867">
        <v>0</v>
      </c>
      <c r="L867">
        <v>33</v>
      </c>
      <c r="O867">
        <v>0</v>
      </c>
      <c r="P867">
        <v>50</v>
      </c>
      <c r="Q867" t="s">
        <v>283</v>
      </c>
    </row>
  </sheetData>
  <sortState xmlns:xlrd2="http://schemas.microsoft.com/office/spreadsheetml/2017/richdata2" ref="A2:Q867">
    <sortCondition ref="D2:D867"/>
  </sortState>
  <phoneticPr fontId="3" type="noConversion"/>
  <conditionalFormatting sqref="S229">
    <cfRule type="containsText" dxfId="0" priority="25" operator="containsText" text="LAMW5607">
      <formula>NOT(ISERROR(SEARCH("LAMW5607",S229)))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Cells per 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 Coleman</dc:creator>
  <cp:lastModifiedBy>Peri Coleman</cp:lastModifiedBy>
  <dcterms:created xsi:type="dcterms:W3CDTF">2025-10-04T08:45:16Z</dcterms:created>
  <dcterms:modified xsi:type="dcterms:W3CDTF">2026-05-15T06:17:25Z</dcterms:modified>
</cp:coreProperties>
</file>